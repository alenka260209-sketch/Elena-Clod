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  <sheet name="Экосбор" sheetId="6" state="visible" r:id="rId6"/>
    <sheet name="Чек-лист до заказ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  <numFmt numFmtId="169" formatCode="#,##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9" fontId="4" fillId="2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2" fontId="4" fillId="2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— по инвойсу поставщика БЕЗ НДС (экспорт из КНР идёт по 0%, китайский НДС возмещают продавцу). Для CNY поменяйте курс в B4 на курс юаня.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2" customWidth="1" min="4" max="4"/>
    <col width="18" customWidth="1" min="5" max="5"/>
    <col width="14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Расчёт экологического сбора за год (импортёр, ст. 24.5 ФЗ-89)</t>
        </is>
      </c>
    </row>
    <row r="2" ht="30" customHeight="1">
      <c r="A2" s="3" t="inlineStr">
        <is>
          <t>Экосбор = MAX(0; масса, т × норматив утилизации − утилизировано самостоятельно, т) × базовая ставка, ₽/т × коэффициент сложности. Сдать расчёт и заплатить — до 15 апреля следующего года (импортёры — в центральный аппарат Росприроднадзора).</t>
        </is>
      </c>
    </row>
    <row r="3" ht="30" customHeight="1">
      <c r="A3" s="3" t="inlineStr">
        <is>
          <t>Ставки и коэффициенты возьмите из ПП РФ № 1041 от 01.08.2024 (ред. от 11.03.2026) по номеру группы, нормативы — из ПП РФ № 2414 от 29.12.2023. Ввоз «для собственных нужд» (аренда, услуги) от экосбора НЕ освобождает.</t>
        </is>
      </c>
    </row>
    <row r="5" ht="45" customHeight="1">
      <c r="A5" s="4" t="inlineStr">
        <is>
          <t>Что</t>
        </is>
      </c>
      <c r="B5" s="4" t="inlineStr">
        <is>
          <t>Что сюда входит из закупки</t>
        </is>
      </c>
      <c r="C5" s="4" t="inlineStr">
        <is>
          <t>Масса за год, кг</t>
        </is>
      </c>
      <c r="D5" s="4" t="inlineStr">
        <is>
          <t>Норматив утилизации</t>
        </is>
      </c>
      <c r="E5" s="4" t="inlineStr">
        <is>
          <t>Утилизировано самостоятельно / по договору, кг</t>
        </is>
      </c>
      <c r="F5" s="4" t="inlineStr">
        <is>
          <t>Базовая ставка, ₽/т</t>
        </is>
      </c>
      <c r="G5" s="4" t="inlineStr">
        <is>
          <t>Коэффициент сложности</t>
        </is>
      </c>
      <c r="H5" s="4" t="inlineStr">
        <is>
          <t>Экосбор, ₽</t>
        </is>
      </c>
      <c r="I5" s="4" t="inlineStr">
        <is>
          <t>Комментарий</t>
        </is>
      </c>
    </row>
    <row r="6">
      <c r="A6" s="31" t="inlineStr">
        <is>
          <t>Упаковка — бумага и картон</t>
        </is>
      </c>
      <c r="B6" s="6" t="inlineStr">
        <is>
          <t>Гофрокороба, картонные вкладыши, бумажные этикетки</t>
        </is>
      </c>
      <c r="C6" s="33" t="n"/>
      <c r="D6" s="34" t="n">
        <v>0.75</v>
      </c>
      <c r="E6" s="33" t="n"/>
      <c r="F6" s="23" t="n"/>
      <c r="G6" s="35" t="n">
        <v>1</v>
      </c>
      <c r="H6" s="13">
        <f>MAX(0,C6/1000*D6-E6/1000)*F6*G6</f>
        <v/>
      </c>
      <c r="I6" s="6" t="inlineStr">
        <is>
          <t>Норматив упаковки 2026 — 75% (2027 — 100%).</t>
        </is>
      </c>
    </row>
    <row r="7">
      <c r="A7" s="31" t="inlineStr">
        <is>
          <t>Упаковка — полимерная</t>
        </is>
      </c>
      <c r="B7" s="6" t="inlineStr">
        <is>
          <t>Плёнка, пакеты, стрейч, пузырчатая плёнка, пластиковые вкладыши</t>
        </is>
      </c>
      <c r="C7" s="33" t="n"/>
      <c r="D7" s="34" t="n">
        <v>0.75</v>
      </c>
      <c r="E7" s="33" t="n"/>
      <c r="F7" s="23" t="n"/>
      <c r="G7" s="35" t="n">
        <v>1</v>
      </c>
      <c r="H7" s="13">
        <f>MAX(0,C7/1000*D7-E7/1000)*F7*G7</f>
        <v/>
      </c>
      <c r="I7" s="6" t="inlineStr"/>
    </row>
    <row r="8">
      <c r="A8" s="31" t="inlineStr">
        <is>
          <t>Упаковка — деревянная</t>
        </is>
      </c>
      <c r="B8" s="6" t="inlineStr">
        <is>
          <t>Паллеты, обрешётка (если остаются у вас)</t>
        </is>
      </c>
      <c r="C8" s="33" t="n"/>
      <c r="D8" s="34" t="n">
        <v>0.75</v>
      </c>
      <c r="E8" s="33" t="n"/>
      <c r="F8" s="23" t="n"/>
      <c r="G8" s="35" t="n">
        <v>1</v>
      </c>
      <c r="H8" s="13">
        <f>MAX(0,C8/1000*D8-E8/1000)*F8*G8</f>
        <v/>
      </c>
      <c r="I8" s="6" t="inlineStr">
        <is>
          <t>Возвратные поддоны перевозчика — не ваши.</t>
        </is>
      </c>
    </row>
    <row r="9">
      <c r="A9" s="31" t="inlineStr">
        <is>
          <t>Товары — текстиль</t>
        </is>
      </c>
      <c r="B9" s="6" t="inlineStr">
        <is>
          <t>Мопы, салфетки, тряпки (6307)</t>
        </is>
      </c>
      <c r="C9" s="33" t="n"/>
      <c r="D9" s="34" t="n">
        <v>0.3</v>
      </c>
      <c r="E9" s="33" t="n"/>
      <c r="F9" s="23" t="n"/>
      <c r="G9" s="35" t="n">
        <v>1</v>
      </c>
      <c r="H9" s="13">
        <f>MAX(0,C9/1000*D9-E9/1000)*F9*G9</f>
        <v/>
      </c>
      <c r="I9" s="6" t="inlineStr">
        <is>
          <t>Норматив текстиля 2026 — 30%.</t>
        </is>
      </c>
    </row>
    <row r="10">
      <c r="A10" s="31" t="inlineStr">
        <is>
          <t>Товары — изделия из пластмасс</t>
        </is>
      </c>
      <c r="B10" s="6" t="inlineStr">
        <is>
          <t>Вёдра, прессы, держатели, таблички (3924, 3926)</t>
        </is>
      </c>
      <c r="C10" s="33" t="n"/>
      <c r="D10" s="34" t="n">
        <v>0.35</v>
      </c>
      <c r="E10" s="33" t="n"/>
      <c r="F10" s="23" t="n"/>
      <c r="G10" s="35" t="n">
        <v>1</v>
      </c>
      <c r="H10" s="13">
        <f>MAX(0,C10/1000*D10-E10/1000)*F10*G10</f>
        <v/>
      </c>
      <c r="I10" s="6" t="inlineStr">
        <is>
          <t>Норматив сверить с ПП № 2414 по номеру группы.</t>
        </is>
      </c>
    </row>
    <row r="11">
      <c r="A11" s="31" t="inlineStr">
        <is>
          <t>Товары — электрооборудование</t>
        </is>
      </c>
      <c r="B11" s="6" t="inlineStr">
        <is>
          <t>Пылесосы, мойки, аппараты, удлинители, инструмент, Windomatic</t>
        </is>
      </c>
      <c r="C11" s="33" t="n"/>
      <c r="D11" s="34" t="n"/>
      <c r="E11" s="33" t="n"/>
      <c r="F11" s="23" t="n"/>
      <c r="G11" s="35" t="n">
        <v>1</v>
      </c>
      <c r="H11" s="13">
        <f>MAX(0,C11/1000*D11-E11/1000)*F11*G11</f>
        <v/>
      </c>
      <c r="I11" s="6" t="inlineStr">
        <is>
          <t>Проверить группу и норматив в ПП № 2414; подъёмники — проверить, входят ли в перечень.</t>
        </is>
      </c>
    </row>
    <row r="12">
      <c r="A12" s="31" t="inlineStr">
        <is>
          <t>Товары — аккумуляторы</t>
        </is>
      </c>
      <c r="B12" s="6" t="inlineStr">
        <is>
          <t>Li-ion АКБ инструмента, Windomatic, тяговые АКБ подъёмников</t>
        </is>
      </c>
      <c r="C12" s="33" t="n"/>
      <c r="D12" s="34" t="n"/>
      <c r="E12" s="33" t="n"/>
      <c r="F12" s="23" t="n"/>
      <c r="G12" s="35" t="n">
        <v>1</v>
      </c>
      <c r="H12" s="13">
        <f>MAX(0,C12/1000*D12-E12/1000)*F12*G12</f>
        <v/>
      </c>
      <c r="I12" s="6" t="inlineStr">
        <is>
          <t>Отдельная группа; учитывать массу АКБ.</t>
        </is>
      </c>
    </row>
    <row r="13">
      <c r="A13" s="31" t="inlineStr">
        <is>
          <t>Товары — химия</t>
        </is>
      </c>
      <c r="B13" s="6" t="inlineStr">
        <is>
          <t>Моющие средства и тара от них (3402)</t>
        </is>
      </c>
      <c r="C13" s="33" t="n"/>
      <c r="D13" s="34" t="n"/>
      <c r="E13" s="33" t="n"/>
      <c r="F13" s="23" t="n"/>
      <c r="G13" s="35" t="n">
        <v>1</v>
      </c>
      <c r="H13" s="13">
        <f>MAX(0,C13/1000*D13-E13/1000)*F13*G13</f>
        <v/>
      </c>
      <c r="I13" s="6" t="inlineStr">
        <is>
          <t>Проверить, входит ли группа; тара от химии — учитывать как упаковку.</t>
        </is>
      </c>
    </row>
    <row r="14">
      <c r="A14" s="36" t="inlineStr">
        <is>
          <t>ИТОГО экосбор за год, ₽</t>
        </is>
      </c>
      <c r="B14" s="37" t="n"/>
      <c r="C14" s="37" t="n"/>
      <c r="D14" s="37" t="n"/>
      <c r="E14" s="37" t="n"/>
      <c r="F14" s="37" t="n"/>
      <c r="G14" s="37" t="n"/>
      <c r="H14" s="20">
        <f>SUM(H6:H13)</f>
        <v/>
      </c>
      <c r="I14" s="37" t="n"/>
    </row>
    <row r="16">
      <c r="A16" s="2" t="inlineStr">
        <is>
          <t>Где взять массы: вес нетто товаров — из ДТ/упаковочных листов; вес упаковки по видам — запросить у поставщика в спецификации к контракту.</t>
        </is>
      </c>
    </row>
    <row r="17">
      <c r="A17" s="2" t="inlineStr">
        <is>
          <t>Если сумма велика — сравните с договором с утилизатором из реестра Росприроднадзора (норматив закрывается актом утилизации, колонка E).</t>
        </is>
      </c>
    </row>
  </sheetData>
  <mergeCells count="2">
    <mergeCell ref="A3:I3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3. Брокер</t>
        </is>
      </c>
      <c r="B12" s="6" t="inlineStr">
        <is>
          <t>Проверка брокера: есть в реестре таможенных представителей ФТС (customs.gov.ru), работает 5+ лет, есть опыт с Китаем и с оборудованием/электротехникой, обеспечение и страхование ответственности, офис на вашем посту оформления. В договоре — ответственность брокера за ошибки в кодах и штрафы по его вине.</t>
        </is>
      </c>
      <c r="C12" s="22" t="inlineStr"/>
    </row>
    <row r="13">
      <c r="A13" s="6" t="inlineStr">
        <is>
          <t>3. Брокер</t>
        </is>
      </c>
      <c r="B13" s="6" t="inlineStr">
        <is>
          <t>Спросить брокера: сколько ДТ в месяц по Китаю, кто подбирает коды, помогает ли с сертификацией и маркировкой, как считает КТС, берёт ли платежи через свой ЕЛС. Настораживает: «растаможка под ключ по весу/кубам», «белая» цена ниже расчёта, оформление на чужую фирму.</t>
        </is>
      </c>
      <c r="C13" s="22" t="inlineStr"/>
    </row>
    <row r="14">
      <c r="A14" s="6" t="inlineStr">
        <is>
          <t>4. Документы</t>
        </is>
      </c>
      <c r="B14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4" s="22" t="inlineStr"/>
    </row>
    <row r="15">
      <c r="A15" s="6" t="inlineStr">
        <is>
          <t>4. Документы</t>
        </is>
      </c>
      <c r="B15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5" s="22" t="inlineStr"/>
    </row>
    <row r="16">
      <c r="A16" s="6" t="inlineStr">
        <is>
          <t>5. Контракт</t>
        </is>
      </c>
      <c r="B16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6" s="22" t="inlineStr"/>
    </row>
    <row r="17">
      <c r="A17" s="6" t="inlineStr">
        <is>
          <t>5. Контракт</t>
        </is>
      </c>
      <c r="B17" s="6" t="inlineStr">
        <is>
          <t>Инвойс — без НДС: цена с экспортным оформлением в КНР (экспортная декларация на поставщика). Цена «без экспортной декларации» — риск для таможенной стоимости и документов.</t>
        </is>
      </c>
      <c r="C17" s="22" t="inlineStr"/>
    </row>
    <row r="18">
      <c r="A18" s="6" t="inlineStr">
        <is>
          <t>5. Контракт</t>
        </is>
      </c>
      <c r="B18" s="6" t="inlineStr">
        <is>
          <t>Выбрать юрлицо-импортёра: ввозной НДС 22% платит любое юрлицо (и на УСН без НДС), но к вычету — только плательщик НДС по ставке 22% (ОСНО — «Аргумент ЭК», или УСН с НДС 22%). На УСН 5%/7% и без НДС ввозной НДС идёт в стоимость. Сам ввоз в доход для порогов 20 / 272,5 млн не входит, а выручка от аренды — входит.</t>
        </is>
      </c>
      <c r="C18" s="22" t="inlineStr"/>
    </row>
    <row r="19">
      <c r="A19" s="6" t="inlineStr">
        <is>
          <t>5. Контракт</t>
        </is>
      </c>
      <c r="B19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9" s="22" t="inlineStr"/>
    </row>
    <row r="20">
      <c r="A20" s="6" t="inlineStr">
        <is>
          <t>5. Контракт</t>
        </is>
      </c>
      <c r="B20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20" s="22" t="inlineStr"/>
    </row>
    <row r="21">
      <c r="A21" s="6" t="inlineStr">
        <is>
          <t>6. Банк</t>
        </is>
      </c>
      <c r="B21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21" s="22" t="inlineStr"/>
    </row>
    <row r="22">
      <c r="A22" s="6" t="inlineStr">
        <is>
          <t>6. Банк</t>
        </is>
      </c>
      <c r="B22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22" s="22" t="inlineStr"/>
    </row>
    <row r="23">
      <c r="A23" s="6" t="inlineStr">
        <is>
          <t>6. Банк</t>
        </is>
      </c>
      <c r="B23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23" s="22" t="inlineStr"/>
    </row>
    <row r="24">
      <c r="A24" s="6" t="inlineStr">
        <is>
          <t>7. Деньги на таможню</t>
        </is>
      </c>
      <c r="B24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4" s="22" t="inlineStr"/>
    </row>
    <row r="25">
      <c r="A25" s="6" t="inlineStr">
        <is>
          <t>8. Логистика</t>
        </is>
      </c>
      <c r="B25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5" s="22" t="inlineStr"/>
    </row>
    <row r="26">
      <c r="A26" s="6" t="inlineStr">
        <is>
          <t>4. Документы</t>
        </is>
      </c>
      <c r="B26" s="6" t="inlineStr">
        <is>
          <t>Химию закупать в профессиональной таре (канистры 5–20 л, код 3402 90 900 0) — под маркировку не попадает. Бытовая химия в розничной фасовке (3401, 3402 50 000 0, 3405 40) при самостоятельном ввозе — маркировка импортёром до ввоза.</t>
        </is>
      </c>
      <c r="C26" s="22" t="inlineStr"/>
    </row>
    <row r="27">
      <c r="A27" s="6" t="inlineStr">
        <is>
          <t>4. Документы</t>
        </is>
      </c>
      <c r="B27" s="6" t="inlineStr">
        <is>
          <t>Пылесосы, мойки, аккумуляторный инструмент, Windomatic: обязательная маркировка радиоэлектроники/бытовой техники (ПП № 1954 от 28.11.2025), с 01.12.2026 немаркированный оборот запрещён. Сдача в аренду от обязанности импортёра не освобождает — брокер сверяет коды с приложением к ПП № 1954 до отгрузки; при необходимости — регистрация в «Честном знаке» и заказ кодов до ввоза.</t>
        </is>
      </c>
      <c r="C27" s="22" t="inlineStr"/>
    </row>
    <row r="28">
      <c r="A28" s="6" t="inlineStr">
        <is>
          <t>4. Документы</t>
        </is>
      </c>
      <c r="B28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8" s="22" t="inlineStr"/>
    </row>
    <row r="29">
      <c r="A29" s="6" t="inlineStr">
        <is>
          <t>4. Документы</t>
        </is>
      </c>
      <c r="B29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9" s="22" t="inlineStr"/>
    </row>
    <row r="30">
      <c r="A30" s="6" t="inlineStr">
        <is>
          <t>5. Контракт</t>
        </is>
      </c>
      <c r="B30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30" s="22" t="inlineStr"/>
    </row>
    <row r="31">
      <c r="A31" s="6" t="inlineStr">
        <is>
          <t>9. После ввоза</t>
        </is>
      </c>
      <c r="B31" s="6" t="inlineStr">
        <is>
          <t>Подъёмники: ЭПСМ, регистрация в Гостехнадзоре, утильсбор. Бухучёт импорта.</t>
        </is>
      </c>
      <c r="C31" s="22" t="inlineStr"/>
    </row>
    <row r="32">
      <c r="A32" s="6" t="inlineStr">
        <is>
          <t>9. После ввоза</t>
        </is>
      </c>
      <c r="B32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32" s="22" t="inlineStr"/>
    </row>
    <row r="33">
      <c r="A33" s="6" t="inlineStr">
        <is>
          <t>9. После ввоза</t>
        </is>
      </c>
      <c r="B33" s="6" t="inlineStr">
        <is>
          <t>Что ещё к вычету (при НДС 22%), кроме таможенного НДС: НДС в счетах-фактурах российских поставщиков — брокер, сертификация, доставка по РФ, склад. Международная перевозка — 0%, вычитать нечего; таможенный сбор и пошлина — без НДС. Китайский инвойс вычета не даёт.</t>
        </is>
      </c>
      <c r="C33" s="22" t="inlineStr"/>
    </row>
    <row r="34">
      <c r="A34" s="6" t="inlineStr">
        <is>
          <t>9. После ввоза</t>
        </is>
      </c>
      <c r="B34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34" s="22" t="inlineStr"/>
    </row>
    <row r="35">
      <c r="A35" s="6" t="inlineStr">
        <is>
          <t>9. После ввоза</t>
        </is>
      </c>
      <c r="B35" s="6" t="inlineStr">
        <is>
          <t>Экологический сбор (ст. 24.5 ФЗ-89): за упаковку и за товары из перечня ПП РФ № 2414 от 29.12.2023 (в т. ч. текстиль, изделия из пластмасс, электрооборудование, АКБ). Вести учёт массы ввезённых товаров и упаковки по кодам ТН ВЭД и видам упаковки (картон, плёнка, пластик, дерево).</t>
        </is>
      </c>
      <c r="C35" s="22" t="inlineStr"/>
    </row>
    <row r="36">
      <c r="A36" s="6" t="inlineStr">
        <is>
          <t>9. После ввоза</t>
        </is>
      </c>
      <c r="B36" s="6" t="inlineStr">
        <is>
          <t>Экосбор: до 15 апреля следующего года — отчётность в Росприроднадзор (масса товаров и упаковки) и уплата сбора. Ставка = базовая ставка × коэффициент (ПП РФ № 1041 от 01.08.2024) × масса × норматив утилизации. Альтернатива — договор с утилизатором из реестра (закрыть норматив), иногда дешевле. Запросить у поставщика вес упаковки по видам.</t>
        </is>
      </c>
      <c r="C36" s="22" t="inlineStr"/>
    </row>
    <row r="37">
      <c r="A37" s="6" t="inlineStr">
        <is>
          <t>9. После ввоза</t>
        </is>
      </c>
      <c r="B37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37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2026-09-30T19:28:46Z</dcterms:created>
  <dcterms:modified xsi:type="dcterms:W3CDTF">2026-09-30T19:28:46Z</dcterms:modified>
</cp:coreProperties>
</file>