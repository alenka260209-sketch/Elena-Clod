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eda — инвентарь" sheetId="1" state="visible" r:id="rId1"/>
    <sheet name="Оборудование (высота)" sheetId="2" state="visible" r:id="rId2"/>
    <sheet name="Параметры" sheetId="3" state="visible" r:id="rId3"/>
    <sheet name="Документы и риски" sheetId="4" state="visible" r:id="rId4"/>
    <sheet name="Источники" sheetId="5" state="visible" r:id="rId5"/>
    <sheet name="Чек-лист до заказ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-&quot;"/>
    <numFmt numFmtId="165" formatCode="#,##0;(#,##0);&quot;-&quot;"/>
    <numFmt numFmtId="166" formatCode="0.0%;;&quot;-&quot;"/>
    <numFmt numFmtId="167" formatCode="0.00;;&quot;-&quot;"/>
    <numFmt numFmtId="168" formatCode="0.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168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3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5" fontId="5" fillId="0" borderId="1" pivotButton="0" quotePrefix="0" xfId="0"/>
    <xf numFmtId="1" fontId="4" fillId="2" borderId="1" pivotButton="0" quotePrefix="0" xfId="0"/>
    <xf numFmtId="0" fontId="4" fillId="2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  <xf numFmtId="2" fontId="4" fillId="2" borderId="1" pivotButton="0" quotePrefix="0" xfId="0"/>
    <xf numFmtId="0" fontId="5" fillId="3" borderId="1" pivotButton="0" quotePrefix="0" xfId="0"/>
    <xf numFmtId="4" fontId="3" fillId="0" borderId="1" pivotButton="0" quotePrefix="0" xfId="0"/>
    <xf numFmtId="9" fontId="4" fillId="2" borderId="1" pivotButton="0" quotePrefix="0" xfId="0"/>
    <xf numFmtId="49" fontId="4" fillId="2" borderId="1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Claude</author>
  </authors>
  <commentList>
    <comment ref="F7" authorId="0" shapeId="0">
      <text>
        <t>8716 80 000 0
Транспортные средства без механических устройств для перемещения (ручные тележки)
Ставка: по справочникам</t>
      </text>
    </comment>
    <comment ref="F8" authorId="0" shapeId="0">
      <text>
        <t>8716 80 000 0
Транспортные средства без механических устройств для перемещения (ручные тележки)
Ставка: по справочникам</t>
      </text>
    </comment>
    <comment ref="F9" authorId="0" shapeId="0">
      <text>
        <t>8716 80 000 0
Транспортные средства без механических устройств для перемещения (ручные тележки)
Ставка: по справочникам</t>
      </text>
    </comment>
    <comment ref="F11" authorId="0" shapeId="0">
      <text>
        <t>3924 90 000 9
Хозяйственные изделия из пластмасс, прочие
Ставка: по справочникам</t>
      </text>
    </comment>
    <comment ref="F12" authorId="0" shapeId="0">
      <text>
        <t>3924 90 000 9
Хозяйственные изделия из пластмасс, прочие
Ставка: по справочникам</t>
      </text>
    </comment>
    <comment ref="F13" authorId="0" shapeId="0">
      <text>
        <t>3924 90 000 9
Хозяйственные изделия из пластмасс, прочие
Ставка: по справочникам</t>
      </text>
    </comment>
    <comment ref="F14" authorId="0" shapeId="0">
      <text>
        <t>3924 90 000 9
Хозяйственные изделия из пластмасс, прочие
Ставка: по справочникам</t>
      </text>
    </comment>
    <comment ref="F16" authorId="0" shapeId="0">
      <text>
        <t>6307 10 900 0
Тряпки для мытья полов, протирочные материалы — прочие (тканые и др.)
Ставка: по справочникам (комбинированная)</t>
      </text>
    </comment>
    <comment ref="F17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18" authorId="0" shapeId="0">
      <text>
        <t>6307 10 900 0
Тряпки для мытья полов, протирочные материалы — прочие (тканые и др.)
Ставка: по справочникам (комбинированная)</t>
      </text>
    </comment>
    <comment ref="F19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20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F22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23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24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F26" authorId="0" shapeId="0">
      <text>
        <t>3926 90 970 9
Изделия из пластмасс прочие
Ставка: по справочникам</t>
      </text>
    </comment>
    <comment ref="F27" authorId="0" shapeId="0">
      <text>
        <t>3926 90 970 9
Изделия из пластмасс прочие
Ставка: по справочникам</t>
      </text>
    </comment>
    <comment ref="F28" authorId="0" shapeId="0">
      <text>
        <t>7616 99 900 8
Изделия из алюминия прочие
Ставка: по справочникам</t>
      </text>
    </comment>
    <comment ref="F29" authorId="0" shapeId="0">
      <text>
        <t>7616 99 900 8
Изделия из алюминия прочие
Ставка: по справочникам</t>
      </text>
    </comment>
    <comment ref="F31" authorId="0" shapeId="0">
      <text>
        <t>9603 90 990 0
Прочие щётки, швабры (мопы); ракли резиновые (сгоны)
Ставка: по справочникам</t>
      </text>
    </comment>
    <comment ref="F32" authorId="0" shapeId="0">
      <text>
        <t>9603 90 990 0
Прочие щётки, швабры (мопы); ракли резиновые (сгоны)
Ставка: по справочникам</t>
      </text>
    </comment>
    <comment ref="F33" authorId="0" shapeId="0">
      <text>
        <t>9603 90 990 0
Прочие щётки, швабры (мопы); ракли резиновые (сгоны)
Ставка: по справочникам</t>
      </text>
    </comment>
    <comment ref="F34" authorId="0" shapeId="0">
      <text>
        <t>9603 90 990 0
Прочие щётки, швабры (мопы); ракли резиновые (сгоны)
Ставка: по справочникам</t>
      </text>
    </comment>
    <comment ref="F35" authorId="0" shapeId="0">
      <text>
        <t>4016 99 970 8
Изделия из вулканизованной резины прочие
Ставка: по справочникам</t>
      </text>
    </comment>
    <comment ref="F36" authorId="0" shapeId="0">
      <text>
        <t>8205 59 809 9
Инструменты ручные прочие
Ставка: по справочникам</t>
      </text>
    </comment>
    <comment ref="F38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39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40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41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42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43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44" authorId="0" shapeId="0">
      <text>
        <t>6307 10 900 0
Тряпки для мытья полов, протирочные материалы — прочие (тканые и др.)
Ставка: по справочникам (комбинированная)</t>
      </text>
    </comment>
    <comment ref="F46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F47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F48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F49" authorId="0" shapeId="0">
      <text>
        <t>8205 59 809 9
Инструменты ручные прочие
Ставка: по справочникам</t>
      </text>
    </comment>
    <comment ref="F50" authorId="0" shapeId="0">
      <text>
        <t>8509 80 000 0
Электромеханические бытовые приборы со встроенным двигателем, прочие
Ставка: по справочникам</t>
      </text>
    </comment>
    <comment ref="F52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53" authorId="0" shapeId="0">
      <text>
        <t>9603 90 990 0
Прочие щётки, швабры (мопы); ракли резиновые (сгоны)
Ставка: по справочникам</t>
      </text>
    </comment>
    <comment ref="F54" authorId="0" shapeId="0">
      <text>
        <t>5603 14 900 0
Нетканые материалы из химических нитей, &gt;150 г/м², прочие
Ставка: по справочникам</t>
      </text>
    </comment>
    <comment ref="F55" authorId="0" shapeId="0">
      <text>
        <t>8505 19 900 0
Постоянные магниты и изделия из них, прочие
Ставка: по справочникам</t>
      </text>
    </comment>
    <comment ref="F57" authorId="0" shapeId="0">
      <text>
        <t>3926 90 970 9
Изделия из пластмасс прочие
Ставка: по справочникам</t>
      </text>
    </comment>
    <comment ref="F59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60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61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62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64" authorId="0" shapeId="0">
      <text>
        <t>6307 10 300 0
Тряпки для мытья полов, протирочные материалы — нетканые
Ставка: по справочникам (комбинированная)</t>
      </text>
    </comment>
    <comment ref="F65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66" authorId="0" shapeId="0">
      <text>
        <t>6307 10 300 0
Тряпки для мытья полов, протирочные материалы — нетканые
Ставка: по справочникам (комбинированная)</t>
      </text>
    </comment>
    <comment ref="F68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F69" authorId="0" shapeId="0">
      <text>
        <t>6307 10 100 0
Тряпки для мытья полов, протирочные материалы — трикотажные
Ставка: по справочникам (специфическая)</t>
      </text>
    </comment>
    <comment ref="F70" authorId="0" shapeId="0">
      <text>
        <t>9603 90 990 0
Прочие щётки, швабры (мопы); ракли резиновые (сгоны)
Ставка: по справочникам</t>
      </text>
    </comment>
    <comment ref="D83" authorId="0" shapeId="0">
      <text>
        <t>Число разных кодов в таблице на момент составления. Если меняете коды — обновите вручную.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H7" authorId="0" shapeId="0">
      <text>
        <t>8427 10 100 0
Подъёмники/погрузчики самоходные с электродвигателем, высота подъёма ≥ 1 м
Ставка: по справочникам</t>
      </text>
    </comment>
    <comment ref="U7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8" authorId="0" shapeId="0">
      <text>
        <t>8427 10 100 0
Подъёмники/погрузчики самоходные с электродвигателем, высота подъёма ≥ 1 м
Ставка: по справочникам</t>
      </text>
    </comment>
    <comment ref="U8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9" authorId="0" shapeId="0">
      <text>
        <t>8427 10 100 0
Подъёмники/погрузчики самоходные с электродвигателем, высота подъёма ≥ 1 м
Ставка: по справочникам</t>
      </text>
    </comment>
    <comment ref="U9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0" authorId="0" shapeId="0">
      <text>
        <t>7610 90 900 0
Металлоконструкции из алюминия, прочие
Ставка: по справочникам</t>
      </text>
    </comment>
    <comment ref="U10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1" authorId="0" shapeId="0">
      <text>
        <t>7616 99 900 8
Изделия из алюминия прочие
Ставка: по справочникам</t>
      </text>
    </comment>
    <comment ref="U11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3" authorId="0" shapeId="0">
      <text>
        <t>8508 19 000 9
Пылесосы со встроенным электродвигателем, прочие (&gt; 2000 Вт или &gt; 30 л)
Ставка: по справочникам</t>
      </text>
    </comment>
    <comment ref="U13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4" authorId="0" shapeId="0">
      <text>
        <t>8424 30 100 0
Струйные очистные машины, работающие от сжатого воздуха
Ставка: по справочникам</t>
      </text>
    </comment>
    <comment ref="U14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5" authorId="0" shapeId="0">
      <text>
        <t>8424 30 080 0
Аппараты водоструйные очистные со встроенным двигателем, без нагрева
Ставка: НЕ ПОДТВЕРЖДЕНА — сверить</t>
      </text>
    </comment>
    <comment ref="U15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6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U16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7" authorId="0" shapeId="0">
      <text>
        <t>8508 19 000 1
Пылесосы ≤ 2000 Вт с пылесборником ≤ 30 л
Ставка: по справочникам</t>
      </text>
    </comment>
    <comment ref="U17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8" authorId="0" shapeId="0">
      <text>
        <t>9603 90 910 0
Щётки и швабры для дома/хозяйственные, щётки для уборки покрытий
Ставка: по справочникам</t>
      </text>
    </comment>
    <comment ref="U18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19" authorId="0" shapeId="0">
      <text>
        <t>3402 90 900 0
Моющие и чистящие средства
Ставка: по справочникам</t>
      </text>
    </comment>
    <comment ref="U19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21" authorId="0" shapeId="0">
      <text>
        <t>8544 42 900 9
Проводники электрические ≤ 1000 В с соединительными приспособлениями, прочие
Ставка: по справочникам</t>
      </text>
    </comment>
    <comment ref="U21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22" authorId="0" shapeId="0">
      <text>
        <t>8502 11 200 0
Электрогенераторные установки дизельные ≤ 7,5 кВА
Ставка: НЕ УСТАНОВЛЕНА — сверить</t>
      </text>
    </comment>
    <comment ref="U22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H23" authorId="0" shapeId="0">
      <text>
        <t>8467 21 100 0
Дрели и шуруповёрты аккумуляторные
Ставка: по справочникам</t>
      </text>
    </comment>
    <comment ref="U23" authorId="0" shapeId="0">
      <text>
        <t>Оценка: сертификат ТР ТС 010 — 60–150 тыс. ₽; декларация ТР ТС 004/020/010 — 15–40 тыс. ₽; добровольный ГОСТ Р — 10–20 тыс. ₽. 0 — если документ оформляется на ту же модель/серию, что строкой выше.</t>
      </text>
    </comment>
    <comment ref="D36" authorId="0" shapeId="0">
      <text>
        <t>Число разных кодов в таблице на момент составления. Если меняете коды — обновите вручную.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7" customWidth="1" min="4" max="4"/>
    <col width="8" customWidth="1" min="5" max="5"/>
    <col width="14" customWidth="1" min="6" max="6"/>
    <col width="34" customWidth="1" min="7" max="7"/>
    <col width="9" customWidth="1" min="8" max="8"/>
    <col width="11" customWidth="1" min="9" max="9"/>
    <col width="10" customWidth="1" min="10" max="10"/>
    <col width="11" customWidth="1" min="11" max="11"/>
    <col width="13" customWidth="1" min="12" max="12"/>
    <col width="12" customWidth="1" min="13" max="13"/>
    <col width="14" customWidth="1" min="14" max="14"/>
    <col width="12" customWidth="1" min="15" max="15"/>
    <col width="12" customWidth="1" min="16" max="16"/>
    <col width="13" customWidth="1" min="17" max="17"/>
    <col width="13" customWidth="1" min="18" max="18"/>
    <col width="48" customWidth="1" min="19" max="19"/>
    <col width="11" customWidth="1" min="20" max="20"/>
    <col width="44" customWidth="1" min="21" max="21"/>
  </cols>
  <sheetData>
    <row r="1">
      <c r="A1" s="1" t="inlineStr">
        <is>
          <t>Vileda Professional — коды ТН ВЭД и расчёт таможенных платежей</t>
        </is>
      </c>
    </row>
    <row r="2">
      <c r="A2" s="2" t="inlineStr">
        <is>
          <t>Источник: «Заявка на поставку клинингового инвентаря Vileda Professional». Страна происхождения — Китай (преференции ЕАЭС не применяются).</t>
        </is>
      </c>
    </row>
    <row r="3" ht="28" customHeight="1">
      <c r="A3" s="3" t="inlineStr">
        <is>
          <t>Жёлтые ячейки — вводные (вес, цена, кол-во). Зелёным выделен код ТН ВЭД, розовым — низкая уверенность (нужна консультация брокера или предварительное решение ФТС). Ставки пошлин — по справочникам ЕТТ ЕАЭС, сверить на дату ввоза.</t>
        </is>
      </c>
    </row>
    <row r="5" ht="45" customHeight="1">
      <c r="A5" s="4" t="inlineStr">
        <is>
          <t>№</t>
        </is>
      </c>
      <c r="B5" s="4" t="inlineStr">
        <is>
          <t>Наименование</t>
        </is>
      </c>
      <c r="C5" s="4" t="inlineStr">
        <is>
          <t>Категория / назначение</t>
        </is>
      </c>
      <c r="D5" s="4" t="inlineStr">
        <is>
          <t>Ед. изм.</t>
        </is>
      </c>
      <c r="E5" s="4" t="inlineStr">
        <is>
          <t>Кол-во</t>
        </is>
      </c>
      <c r="F5" s="4" t="inlineStr">
        <is>
          <t>Код ТН ВЭД ЕАЭС</t>
        </is>
      </c>
      <c r="G5" s="4" t="inlineStr">
        <is>
          <t>Описание по ТН ВЭД</t>
        </is>
      </c>
      <c r="H5" s="4" t="inlineStr">
        <is>
          <t>Пошлина, %</t>
        </is>
      </c>
      <c r="I5" s="4" t="inlineStr">
        <is>
          <t>Пошлина, €/кг (мин./специф.)</t>
        </is>
      </c>
      <c r="J5" s="4" t="inlineStr">
        <is>
          <t>Вес нетто ед., кг</t>
        </is>
      </c>
      <c r="K5" s="4" t="inlineStr">
        <is>
          <t>Цена за ед., USD</t>
        </is>
      </c>
      <c r="L5" s="4" t="inlineStr">
        <is>
          <t>Стоимость по инвойсу, USD</t>
        </is>
      </c>
      <c r="M5" s="4" t="inlineStr">
        <is>
          <t>Доставка до границы, USD</t>
        </is>
      </c>
      <c r="N5" s="4" t="inlineStr">
        <is>
          <t>Таможенная стоимость, ₽</t>
        </is>
      </c>
      <c r="O5" s="4" t="inlineStr">
        <is>
          <t>Пошлина, ₽</t>
        </is>
      </c>
      <c r="P5" s="4" t="inlineStr">
        <is>
          <t>НДС 22%, ₽</t>
        </is>
      </c>
      <c r="Q5" s="4" t="inlineStr">
        <is>
          <t>Пошлина + НДС, ₽</t>
        </is>
      </c>
      <c r="R5" s="4" t="inlineStr">
        <is>
          <t>Себестоимость ед. без НДС, ₽</t>
        </is>
      </c>
      <c r="S5" s="4" t="inlineStr">
        <is>
          <t>Разрешительные документы</t>
        </is>
      </c>
      <c r="T5" s="4" t="inlineStr">
        <is>
          <t>Уверенность в коде</t>
        </is>
      </c>
      <c r="U5" s="4" t="inlineStr">
        <is>
          <t>Комментарий / альтернативы</t>
        </is>
      </c>
    </row>
    <row r="6">
      <c r="A6" s="5" t="inlineStr">
        <is>
          <t>Тележки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>
        <v>1</v>
      </c>
      <c r="B7" s="6" t="inlineStr">
        <is>
          <t>Тележка клининговая Vileda UltraSpeed Pro</t>
        </is>
      </c>
      <c r="C7" s="6" t="inlineStr">
        <is>
          <t>Тележки</t>
        </is>
      </c>
      <c r="D7" s="6" t="inlineStr">
        <is>
          <t>шт</t>
        </is>
      </c>
      <c r="E7" s="6" t="n">
        <v>20</v>
      </c>
      <c r="F7" s="7" t="inlineStr">
        <is>
          <t>8716800000</t>
        </is>
      </c>
      <c r="G7" s="6" t="inlineStr">
        <is>
          <t>Транспортные средства без механических устройств для перемещения (ручные тележки)</t>
        </is>
      </c>
      <c r="H7" s="8" t="n">
        <v>0.125</v>
      </c>
      <c r="I7" s="9" t="n"/>
      <c r="J7" s="10" t="n"/>
      <c r="K7" s="11" t="n"/>
      <c r="L7" s="12">
        <f>IF(AND(ISNUMBER(E7),ISNUMBER(K7)),E7*K7,0)</f>
        <v/>
      </c>
      <c r="M7" s="12">
        <f>IF(SUM($L$6:$L$70)=0,0,L7/SUM($L$6:$L$70)*Параметры!$B$9)</f>
        <v/>
      </c>
      <c r="N7" s="13">
        <f>(L7+M7)*Параметры!$B$4</f>
        <v/>
      </c>
      <c r="O7" s="13">
        <f>MAX(N7*N(H7),IF(AND(ISNUMBER(J7),ISNUMBER(E7)),E7*J7*N(I7)*Параметры!$B$5,0))</f>
        <v/>
      </c>
      <c r="P7" s="13">
        <f>(N7+O7)*Параметры!$B$6</f>
        <v/>
      </c>
      <c r="Q7" s="13">
        <f>O7+P7</f>
        <v/>
      </c>
      <c r="R7" s="13">
        <f>IF(OR(N(E7)=0,N7=0),"",(N7+O7+($D$78+$D$80+$D$81)*N7/$D$75)/E7)</f>
        <v/>
      </c>
      <c r="S7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7" s="14" t="inlineStr">
        <is>
          <t>средняя</t>
        </is>
      </c>
      <c r="U7" s="6" t="inlineStr">
        <is>
          <t>Тележка в сборе с вёдрами/прессом в одной поставке классифицируется как комплект по 8716.</t>
        </is>
      </c>
    </row>
    <row r="8">
      <c r="A8" s="6" t="n">
        <v>2</v>
      </c>
      <c r="B8" s="6" t="inlineStr">
        <is>
          <t>Тележка клининговая Vileda UltraSpeed Mini</t>
        </is>
      </c>
      <c r="C8" s="6" t="inlineStr">
        <is>
          <t>Тележки (малые зоны)</t>
        </is>
      </c>
      <c r="D8" s="6" t="inlineStr">
        <is>
          <t>шт</t>
        </is>
      </c>
      <c r="E8" s="6" t="n">
        <v>20</v>
      </c>
      <c r="F8" s="7" t="inlineStr">
        <is>
          <t>8716800000</t>
        </is>
      </c>
      <c r="G8" s="6" t="inlineStr">
        <is>
          <t>Транспортные средства без механических устройств для перемещения (ручные тележки)</t>
        </is>
      </c>
      <c r="H8" s="8" t="n">
        <v>0.125</v>
      </c>
      <c r="I8" s="9" t="n"/>
      <c r="J8" s="10" t="n"/>
      <c r="K8" s="11" t="n"/>
      <c r="L8" s="12">
        <f>IF(AND(ISNUMBER(E8),ISNUMBER(K8)),E8*K8,0)</f>
        <v/>
      </c>
      <c r="M8" s="12">
        <f>IF(SUM($L$6:$L$70)=0,0,L8/SUM($L$6:$L$70)*Параметры!$B$9)</f>
        <v/>
      </c>
      <c r="N8" s="13">
        <f>(L8+M8)*Параметры!$B$4</f>
        <v/>
      </c>
      <c r="O8" s="13">
        <f>MAX(N8*N(H8),IF(AND(ISNUMBER(J8),ISNUMBER(E8)),E8*J8*N(I8)*Параметры!$B$5,0))</f>
        <v/>
      </c>
      <c r="P8" s="13">
        <f>(N8+O8)*Параметры!$B$6</f>
        <v/>
      </c>
      <c r="Q8" s="13">
        <f>O8+P8</f>
        <v/>
      </c>
      <c r="R8" s="13">
        <f>IF(OR(N(E8)=0,N8=0),"",(N8+O8+($D$78+$D$80+$D$81)*N8/$D$75)/E8)</f>
        <v/>
      </c>
      <c r="S8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8" s="14" t="inlineStr">
        <is>
          <t>средняя</t>
        </is>
      </c>
      <c r="U8" s="6" t="inlineStr"/>
    </row>
    <row r="9">
      <c r="A9" s="6" t="n">
        <v>3</v>
      </c>
      <c r="B9" s="6" t="inlineStr">
        <is>
          <t>Тележка клининговая Vileda MicroBasic</t>
        </is>
      </c>
      <c r="C9" s="6" t="inlineStr">
        <is>
          <t>Тележки (базовая комплектация)</t>
        </is>
      </c>
      <c r="D9" s="6" t="inlineStr">
        <is>
          <t>шт</t>
        </is>
      </c>
      <c r="E9" s="6" t="n">
        <v>20</v>
      </c>
      <c r="F9" s="7" t="inlineStr">
        <is>
          <t>8716800000</t>
        </is>
      </c>
      <c r="G9" s="6" t="inlineStr">
        <is>
          <t>Транспортные средства без механических устройств для перемещения (ручные тележки)</t>
        </is>
      </c>
      <c r="H9" s="8" t="n">
        <v>0.125</v>
      </c>
      <c r="I9" s="9" t="n"/>
      <c r="J9" s="10" t="n"/>
      <c r="K9" s="11" t="n"/>
      <c r="L9" s="12">
        <f>IF(AND(ISNUMBER(E9),ISNUMBER(K9)),E9*K9,0)</f>
        <v/>
      </c>
      <c r="M9" s="12">
        <f>IF(SUM($L$6:$L$70)=0,0,L9/SUM($L$6:$L$70)*Параметры!$B$9)</f>
        <v/>
      </c>
      <c r="N9" s="13">
        <f>(L9+M9)*Параметры!$B$4</f>
        <v/>
      </c>
      <c r="O9" s="13">
        <f>MAX(N9*N(H9),IF(AND(ISNUMBER(J9),ISNUMBER(E9)),E9*J9*N(I9)*Параметры!$B$5,0))</f>
        <v/>
      </c>
      <c r="P9" s="13">
        <f>(N9+O9)*Параметры!$B$6</f>
        <v/>
      </c>
      <c r="Q9" s="13">
        <f>O9+P9</f>
        <v/>
      </c>
      <c r="R9" s="13">
        <f>IF(OR(N(E9)=0,N9=0),"",(N9+O9+($D$78+$D$80+$D$81)*N9/$D$75)/E9)</f>
        <v/>
      </c>
      <c r="S9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9" s="14" t="inlineStr">
        <is>
          <t>средняя</t>
        </is>
      </c>
      <c r="U9" s="6" t="inlineStr"/>
    </row>
    <row r="10">
      <c r="A10" s="5" t="inlineStr">
        <is>
          <t>Вёдра и отжимные системы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>
        <v>4</v>
      </c>
      <c r="B11" s="6" t="inlineStr">
        <is>
          <t>Ведро с педальным отжимом Vileda EasyPress</t>
        </is>
      </c>
      <c r="C11" s="6" t="inlineStr">
        <is>
          <t>Отжимные системы</t>
        </is>
      </c>
      <c r="D11" s="6" t="inlineStr">
        <is>
          <t>шт</t>
        </is>
      </c>
      <c r="E11" s="6" t="n">
        <v>20</v>
      </c>
      <c r="F11" s="7" t="inlineStr">
        <is>
          <t>3924900009</t>
        </is>
      </c>
      <c r="G11" s="6" t="inlineStr">
        <is>
          <t>Хозяйственные изделия из пластмасс, прочие</t>
        </is>
      </c>
      <c r="H11" s="8" t="n">
        <v>0.065</v>
      </c>
      <c r="I11" s="9" t="n"/>
      <c r="J11" s="10" t="n"/>
      <c r="K11" s="11" t="n"/>
      <c r="L11" s="12">
        <f>IF(AND(ISNUMBER(E11),ISNUMBER(K11)),E11*K11,0)</f>
        <v/>
      </c>
      <c r="M11" s="12">
        <f>IF(SUM($L$6:$L$70)=0,0,L11/SUM($L$6:$L$70)*Параметры!$B$9)</f>
        <v/>
      </c>
      <c r="N11" s="13">
        <f>(L11+M11)*Параметры!$B$4</f>
        <v/>
      </c>
      <c r="O11" s="13">
        <f>MAX(N11*N(H11),IF(AND(ISNUMBER(J11),ISNUMBER(E11)),E11*J11*N(I11)*Параметры!$B$5,0))</f>
        <v/>
      </c>
      <c r="P11" s="13">
        <f>(N11+O11)*Параметры!$B$6</f>
        <v/>
      </c>
      <c r="Q11" s="13">
        <f>O11+P11</f>
        <v/>
      </c>
      <c r="R11" s="13">
        <f>IF(OR(N(E11)=0,N11=0),"",(N11+O11+($D$78+$D$80+$D$81)*N11/$D$75)/E11)</f>
        <v/>
      </c>
      <c r="S11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11" s="14" t="inlineStr">
        <is>
          <t>высокая</t>
        </is>
      </c>
      <c r="U11" s="6" t="inlineStr"/>
    </row>
    <row r="12">
      <c r="A12" s="6" t="n">
        <v>5</v>
      </c>
      <c r="B12" s="6" t="inlineStr">
        <is>
          <t>Ведро двухсекционное Vileda Professional (грязная/чистая вода)</t>
        </is>
      </c>
      <c r="C12" s="6" t="inlineStr">
        <is>
          <t>Отжимные системы</t>
        </is>
      </c>
      <c r="D12" s="6" t="inlineStr">
        <is>
          <t>шт</t>
        </is>
      </c>
      <c r="E12" s="6" t="n">
        <v>20</v>
      </c>
      <c r="F12" s="7" t="inlineStr">
        <is>
          <t>3924900009</t>
        </is>
      </c>
      <c r="G12" s="6" t="inlineStr">
        <is>
          <t>Хозяйственные изделия из пластмасс, прочие</t>
        </is>
      </c>
      <c r="H12" s="8" t="n">
        <v>0.065</v>
      </c>
      <c r="I12" s="9" t="n"/>
      <c r="J12" s="10" t="n"/>
      <c r="K12" s="11" t="n"/>
      <c r="L12" s="12">
        <f>IF(AND(ISNUMBER(E12),ISNUMBER(K12)),E12*K12,0)</f>
        <v/>
      </c>
      <c r="M12" s="12">
        <f>IF(SUM($L$6:$L$70)=0,0,L12/SUM($L$6:$L$70)*Параметры!$B$9)</f>
        <v/>
      </c>
      <c r="N12" s="13">
        <f>(L12+M12)*Параметры!$B$4</f>
        <v/>
      </c>
      <c r="O12" s="13">
        <f>MAX(N12*N(H12),IF(AND(ISNUMBER(J12),ISNUMBER(E12)),E12*J12*N(I12)*Параметры!$B$5,0))</f>
        <v/>
      </c>
      <c r="P12" s="13">
        <f>(N12+O12)*Параметры!$B$6</f>
        <v/>
      </c>
      <c r="Q12" s="13">
        <f>O12+P12</f>
        <v/>
      </c>
      <c r="R12" s="13">
        <f>IF(OR(N(E12)=0,N12=0),"",(N12+O12+($D$78+$D$80+$D$81)*N12/$D$75)/E12)</f>
        <v/>
      </c>
      <c r="S12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12" s="14" t="inlineStr">
        <is>
          <t>высокая</t>
        </is>
      </c>
      <c r="U12" s="6" t="inlineStr"/>
    </row>
    <row r="13">
      <c r="A13" s="6" t="n">
        <v>6</v>
      </c>
      <c r="B13" s="6" t="inlineStr">
        <is>
          <t>Ведро трёхсекционное с ситом-отжимом</t>
        </is>
      </c>
      <c r="C13" s="6" t="inlineStr">
        <is>
          <t>Отжимные системы</t>
        </is>
      </c>
      <c r="D13" s="6" t="inlineStr">
        <is>
          <t>шт</t>
        </is>
      </c>
      <c r="E13" s="6" t="n">
        <v>20</v>
      </c>
      <c r="F13" s="7" t="inlineStr">
        <is>
          <t>3924900009</t>
        </is>
      </c>
      <c r="G13" s="6" t="inlineStr">
        <is>
          <t>Хозяйственные изделия из пластмасс, прочие</t>
        </is>
      </c>
      <c r="H13" s="8" t="n">
        <v>0.065</v>
      </c>
      <c r="I13" s="9" t="n"/>
      <c r="J13" s="10" t="n"/>
      <c r="K13" s="11" t="n"/>
      <c r="L13" s="12">
        <f>IF(AND(ISNUMBER(E13),ISNUMBER(K13)),E13*K13,0)</f>
        <v/>
      </c>
      <c r="M13" s="12">
        <f>IF(SUM($L$6:$L$70)=0,0,L13/SUM($L$6:$L$70)*Параметры!$B$9)</f>
        <v/>
      </c>
      <c r="N13" s="13">
        <f>(L13+M13)*Параметры!$B$4</f>
        <v/>
      </c>
      <c r="O13" s="13">
        <f>MAX(N13*N(H13),IF(AND(ISNUMBER(J13),ISNUMBER(E13)),E13*J13*N(I13)*Параметры!$B$5,0))</f>
        <v/>
      </c>
      <c r="P13" s="13">
        <f>(N13+O13)*Параметры!$B$6</f>
        <v/>
      </c>
      <c r="Q13" s="13">
        <f>O13+P13</f>
        <v/>
      </c>
      <c r="R13" s="13">
        <f>IF(OR(N(E13)=0,N13=0),"",(N13+O13+($D$78+$D$80+$D$81)*N13/$D$75)/E13)</f>
        <v/>
      </c>
      <c r="S13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13" s="14" t="inlineStr">
        <is>
          <t>высокая</t>
        </is>
      </c>
      <c r="U13" s="6" t="inlineStr"/>
    </row>
    <row r="14">
      <c r="A14" s="6" t="n">
        <v>7</v>
      </c>
      <c r="B14" s="6" t="inlineStr">
        <is>
          <t>Пресс отжимной навесной на ведро</t>
        </is>
      </c>
      <c r="C14" s="6" t="inlineStr">
        <is>
          <t>Отжимные системы</t>
        </is>
      </c>
      <c r="D14" s="6" t="inlineStr">
        <is>
          <t>шт</t>
        </is>
      </c>
      <c r="E14" s="6" t="n">
        <v>20</v>
      </c>
      <c r="F14" s="7" t="inlineStr">
        <is>
          <t>3924900009</t>
        </is>
      </c>
      <c r="G14" s="6" t="inlineStr">
        <is>
          <t>Хозяйственные изделия из пластмасс, прочие</t>
        </is>
      </c>
      <c r="H14" s="8" t="n">
        <v>0.065</v>
      </c>
      <c r="I14" s="9" t="n"/>
      <c r="J14" s="10" t="n"/>
      <c r="K14" s="11" t="n"/>
      <c r="L14" s="12">
        <f>IF(AND(ISNUMBER(E14),ISNUMBER(K14)),E14*K14,0)</f>
        <v/>
      </c>
      <c r="M14" s="12">
        <f>IF(SUM($L$6:$L$70)=0,0,L14/SUM($L$6:$L$70)*Параметры!$B$9)</f>
        <v/>
      </c>
      <c r="N14" s="13">
        <f>(L14+M14)*Параметры!$B$4</f>
        <v/>
      </c>
      <c r="O14" s="13">
        <f>MAX(N14*N(H14),IF(AND(ISNUMBER(J14),ISNUMBER(E14)),E14*J14*N(I14)*Параметры!$B$5,0))</f>
        <v/>
      </c>
      <c r="P14" s="13">
        <f>(N14+O14)*Параметры!$B$6</f>
        <v/>
      </c>
      <c r="Q14" s="13">
        <f>O14+P14</f>
        <v/>
      </c>
      <c r="R14" s="13">
        <f>IF(OR(N(E14)=0,N14=0),"",(N14+O14+($D$78+$D$80+$D$81)*N14/$D$75)/E14)</f>
        <v/>
      </c>
      <c r="S14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14" s="14" t="inlineStr">
        <is>
          <t>средняя</t>
        </is>
      </c>
      <c r="U14" s="6" t="inlineStr">
        <is>
          <t>Если пресс металлический — 7323 99 000 0.</t>
        </is>
      </c>
    </row>
    <row r="15">
      <c r="A15" s="5" t="inlineStr">
        <is>
          <t>Мопы влажной уборки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6" t="n">
        <v>8</v>
      </c>
      <c r="B16" s="6" t="inlineStr">
        <is>
          <t>Моп Vileda UltraSpeed Twist Mop (сменный, петлевой)</t>
        </is>
      </c>
      <c r="C16" s="6" t="inlineStr">
        <is>
          <t>Мопы влажные — плоские/петлевые</t>
        </is>
      </c>
      <c r="D16" s="6" t="inlineStr">
        <is>
          <t>шт</t>
        </is>
      </c>
      <c r="E16" s="6" t="n">
        <v>100</v>
      </c>
      <c r="F16" s="7" t="inlineStr">
        <is>
          <t>6307109000</t>
        </is>
      </c>
      <c r="G16" s="6" t="inlineStr">
        <is>
          <t>Тряпки для мытья полов, протирочные материалы — прочие (тканые и др.)</t>
        </is>
      </c>
      <c r="H16" s="8" t="n">
        <v>0.13</v>
      </c>
      <c r="I16" s="9" t="n">
        <v>0.46</v>
      </c>
      <c r="J16" s="10" t="n"/>
      <c r="K16" s="11" t="n"/>
      <c r="L16" s="12">
        <f>IF(AND(ISNUMBER(E16),ISNUMBER(K16)),E16*K16,0)</f>
        <v/>
      </c>
      <c r="M16" s="12">
        <f>IF(SUM($L$6:$L$70)=0,0,L16/SUM($L$6:$L$70)*Параметры!$B$9)</f>
        <v/>
      </c>
      <c r="N16" s="13">
        <f>(L16+M16)*Параметры!$B$4</f>
        <v/>
      </c>
      <c r="O16" s="13">
        <f>MAX(N16*N(H16),IF(AND(ISNUMBER(J16),ISNUMBER(E16)),E16*J16*N(I16)*Параметры!$B$5,0))</f>
        <v/>
      </c>
      <c r="P16" s="13">
        <f>(N16+O16)*Параметры!$B$6</f>
        <v/>
      </c>
      <c r="Q16" s="13">
        <f>O16+P16</f>
        <v/>
      </c>
      <c r="R16" s="13">
        <f>IF(OR(N(E16)=0,N16=0),"",(N16+O16+($D$78+$D$80+$D$81)*N16/$D$75)/E16)</f>
        <v/>
      </c>
      <c r="S16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16" s="14" t="inlineStr">
        <is>
          <t>средняя</t>
        </is>
      </c>
      <c r="U16" s="6" t="inlineStr">
        <is>
          <t>Специфическая/комбинированная ставка — для расчёта обязательно укажите вес нетто. Если полотно трикотажное — 6307 10 100 0 (0,61 €/кг). Уточнить у поставщика тип полотна.</t>
        </is>
      </c>
    </row>
    <row r="17">
      <c r="A17" s="6" t="n">
        <v>9</v>
      </c>
      <c r="B17" s="6" t="inlineStr">
        <is>
          <t>Моп плоский Vileda MicroTech (флет-моп, микрофибра)</t>
        </is>
      </c>
      <c r="C17" s="6" t="inlineStr">
        <is>
          <t>Мопы плоские</t>
        </is>
      </c>
      <c r="D17" s="6" t="inlineStr">
        <is>
          <t>шт</t>
        </is>
      </c>
      <c r="E17" s="6" t="n">
        <v>100</v>
      </c>
      <c r="F17" s="7" t="inlineStr">
        <is>
          <t>6307101000</t>
        </is>
      </c>
      <c r="G17" s="6" t="inlineStr">
        <is>
          <t>Тряпки для мытья полов, протирочные материалы — трикотажные</t>
        </is>
      </c>
      <c r="H17" s="8" t="n"/>
      <c r="I17" s="9" t="n">
        <v>0.61</v>
      </c>
      <c r="J17" s="10" t="n"/>
      <c r="K17" s="11" t="n"/>
      <c r="L17" s="12">
        <f>IF(AND(ISNUMBER(E17),ISNUMBER(K17)),E17*K17,0)</f>
        <v/>
      </c>
      <c r="M17" s="12">
        <f>IF(SUM($L$6:$L$70)=0,0,L17/SUM($L$6:$L$70)*Параметры!$B$9)</f>
        <v/>
      </c>
      <c r="N17" s="13">
        <f>(L17+M17)*Параметры!$B$4</f>
        <v/>
      </c>
      <c r="O17" s="13">
        <f>MAX(N17*N(H17),IF(AND(ISNUMBER(J17),ISNUMBER(E17)),E17*J17*N(I17)*Параметры!$B$5,0))</f>
        <v/>
      </c>
      <c r="P17" s="13">
        <f>(N17+O17)*Параметры!$B$6</f>
        <v/>
      </c>
      <c r="Q17" s="13">
        <f>O17+P17</f>
        <v/>
      </c>
      <c r="R17" s="13">
        <f>IF(OR(N(E17)=0,N17=0),"",(N17+O17+($D$78+$D$80+$D$81)*N17/$D$75)/E17)</f>
        <v/>
      </c>
      <c r="S17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17" s="14" t="inlineStr">
        <is>
          <t>средняя</t>
        </is>
      </c>
      <c r="U17" s="6" t="inlineStr">
        <is>
          <t>Специфическая/комбинированная ставка — для расчёта обязательно укажите вес нетто. Если полотно тканое — 6307 10 900 0 (13%, не менее 0,46 €/кг).</t>
        </is>
      </c>
    </row>
    <row r="18">
      <c r="A18" s="6" t="n">
        <v>10</v>
      </c>
      <c r="B18" s="6" t="inlineStr">
        <is>
          <t>Моп веревочный (шнуровой) из хлопка/вискозы</t>
        </is>
      </c>
      <c r="C18" s="6" t="inlineStr">
        <is>
          <t>Мопы для сильных загрязнений</t>
        </is>
      </c>
      <c r="D18" s="6" t="inlineStr">
        <is>
          <t>шт</t>
        </is>
      </c>
      <c r="E18" s="6" t="n">
        <v>50</v>
      </c>
      <c r="F18" s="7" t="inlineStr">
        <is>
          <t>6307109000</t>
        </is>
      </c>
      <c r="G18" s="6" t="inlineStr">
        <is>
          <t>Тряпки для мытья полов, протирочные материалы — прочие (тканые и др.)</t>
        </is>
      </c>
      <c r="H18" s="8" t="n">
        <v>0.13</v>
      </c>
      <c r="I18" s="9" t="n">
        <v>0.46</v>
      </c>
      <c r="J18" s="10" t="n"/>
      <c r="K18" s="11" t="n"/>
      <c r="L18" s="12">
        <f>IF(AND(ISNUMBER(E18),ISNUMBER(K18)),E18*K18,0)</f>
        <v/>
      </c>
      <c r="M18" s="12">
        <f>IF(SUM($L$6:$L$70)=0,0,L18/SUM($L$6:$L$70)*Параметры!$B$9)</f>
        <v/>
      </c>
      <c r="N18" s="13">
        <f>(L18+M18)*Параметры!$B$4</f>
        <v/>
      </c>
      <c r="O18" s="13">
        <f>MAX(N18*N(H18),IF(AND(ISNUMBER(J18),ISNUMBER(E18)),E18*J18*N(I18)*Параметры!$B$5,0))</f>
        <v/>
      </c>
      <c r="P18" s="13">
        <f>(N18+O18)*Параметры!$B$6</f>
        <v/>
      </c>
      <c r="Q18" s="13">
        <f>O18+P18</f>
        <v/>
      </c>
      <c r="R18" s="13">
        <f>IF(OR(N(E18)=0,N18=0),"",(N18+O18+($D$78+$D$80+$D$81)*N18/$D$75)/E18)</f>
        <v/>
      </c>
      <c r="S18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18" s="14" t="inlineStr">
        <is>
          <t>высокая</t>
        </is>
      </c>
      <c r="U18" s="6" t="inlineStr">
        <is>
          <t>Специфическая/комбинированная ставка — для расчёта обязательно укажите вес нетто.</t>
        </is>
      </c>
    </row>
    <row r="19">
      <c r="A19" s="6" t="n">
        <v>11</v>
      </c>
      <c r="B19" s="6" t="inlineStr">
        <is>
          <t>Моп из микрофибры повышенной впитываемости (для больших разливов)</t>
        </is>
      </c>
      <c r="C19" s="6" t="inlineStr">
        <is>
          <t>Мопы влажные усиленные</t>
        </is>
      </c>
      <c r="D19" s="6" t="inlineStr">
        <is>
          <t>шт</t>
        </is>
      </c>
      <c r="E19" s="6" t="n">
        <v>50</v>
      </c>
      <c r="F19" s="7" t="inlineStr">
        <is>
          <t>6307101000</t>
        </is>
      </c>
      <c r="G19" s="6" t="inlineStr">
        <is>
          <t>Тряпки для мытья полов, протирочные материалы — трикотажные</t>
        </is>
      </c>
      <c r="H19" s="8" t="n"/>
      <c r="I19" s="9" t="n">
        <v>0.61</v>
      </c>
      <c r="J19" s="10" t="n"/>
      <c r="K19" s="11" t="n"/>
      <c r="L19" s="12">
        <f>IF(AND(ISNUMBER(E19),ISNUMBER(K19)),E19*K19,0)</f>
        <v/>
      </c>
      <c r="M19" s="12">
        <f>IF(SUM($L$6:$L$70)=0,0,L19/SUM($L$6:$L$70)*Параметры!$B$9)</f>
        <v/>
      </c>
      <c r="N19" s="13">
        <f>(L19+M19)*Параметры!$B$4</f>
        <v/>
      </c>
      <c r="O19" s="13">
        <f>MAX(N19*N(H19),IF(AND(ISNUMBER(J19),ISNUMBER(E19)),E19*J19*N(I19)*Параметры!$B$5,0))</f>
        <v/>
      </c>
      <c r="P19" s="13">
        <f>(N19+O19)*Параметры!$B$6</f>
        <v/>
      </c>
      <c r="Q19" s="13">
        <f>O19+P19</f>
        <v/>
      </c>
      <c r="R19" s="13">
        <f>IF(OR(N(E19)=0,N19=0),"",(N19+O19+($D$78+$D$80+$D$81)*N19/$D$75)/E19)</f>
        <v/>
      </c>
      <c r="S19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19" s="14" t="inlineStr">
        <is>
          <t>средняя</t>
        </is>
      </c>
      <c r="U19" s="6" t="inlineStr">
        <is>
          <t>Специфическая/комбинированная ставка — для расчёта обязательно укажите вес нетто. Если полотно тканое — 6307 10 900 0.</t>
        </is>
      </c>
    </row>
    <row r="20">
      <c r="A20" s="6" t="n">
        <v>12</v>
      </c>
      <c r="B20" s="6" t="inlineStr">
        <is>
          <t>Моп-твист (спин-моп) с ручным отжимом</t>
        </is>
      </c>
      <c r="C20" s="6" t="inlineStr">
        <is>
          <t>Мопы компактные / ручная уборка</t>
        </is>
      </c>
      <c r="D20" s="6" t="inlineStr">
        <is>
          <t>шт</t>
        </is>
      </c>
      <c r="E20" s="6" t="n">
        <v>50</v>
      </c>
      <c r="F20" s="7" t="inlineStr">
        <is>
          <t>9603909100</t>
        </is>
      </c>
      <c r="G20" s="6" t="inlineStr">
        <is>
          <t>Щётки и швабры для дома/хозяйственные, щётки для уборки покрытий</t>
        </is>
      </c>
      <c r="H20" s="8" t="n">
        <v>0.1</v>
      </c>
      <c r="I20" s="9" t="n"/>
      <c r="J20" s="10" t="n"/>
      <c r="K20" s="11" t="n"/>
      <c r="L20" s="12">
        <f>IF(AND(ISNUMBER(E20),ISNUMBER(K20)),E20*K20,0)</f>
        <v/>
      </c>
      <c r="M20" s="12">
        <f>IF(SUM($L$6:$L$70)=0,0,L20/SUM($L$6:$L$70)*Параметры!$B$9)</f>
        <v/>
      </c>
      <c r="N20" s="13">
        <f>(L20+M20)*Параметры!$B$4</f>
        <v/>
      </c>
      <c r="O20" s="13">
        <f>MAX(N20*N(H20),IF(AND(ISNUMBER(J20),ISNUMBER(E20)),E20*J20*N(I20)*Параметры!$B$5,0))</f>
        <v/>
      </c>
      <c r="P20" s="13">
        <f>(N20+O20)*Параметры!$B$6</f>
        <v/>
      </c>
      <c r="Q20" s="13">
        <f>O20+P20</f>
        <v/>
      </c>
      <c r="R20" s="13">
        <f>IF(OR(N(E20)=0,N20=0),"",(N20+O20+($D$78+$D$80+$D$81)*N20/$D$75)/E20)</f>
        <v/>
      </c>
      <c r="S20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20" s="14" t="inlineStr">
        <is>
          <t>средняя</t>
        </is>
      </c>
      <c r="U20" s="6" t="inlineStr">
        <is>
          <t>Набор «швабра + ведро с центрифугой» классифицируется по швабре (9603).</t>
        </is>
      </c>
    </row>
    <row r="21">
      <c r="A21" s="5" t="inlineStr">
        <is>
          <t>Мопы сухой уборки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6" t="n">
        <v>13</v>
      </c>
      <c r="B22" s="6" t="inlineStr">
        <is>
          <t>Моп для сухой уборки (пыли) плоский, микрофибра</t>
        </is>
      </c>
      <c r="C22" s="6" t="inlineStr">
        <is>
          <t>Мопы сухие — сбор пыли</t>
        </is>
      </c>
      <c r="D22" s="6" t="inlineStr">
        <is>
          <t>шт</t>
        </is>
      </c>
      <c r="E22" s="6" t="n">
        <v>100</v>
      </c>
      <c r="F22" s="7" t="inlineStr">
        <is>
          <t>6307101000</t>
        </is>
      </c>
      <c r="G22" s="6" t="inlineStr">
        <is>
          <t>Тряпки для мытья полов, протирочные материалы — трикотажные</t>
        </is>
      </c>
      <c r="H22" s="8" t="n"/>
      <c r="I22" s="9" t="n">
        <v>0.61</v>
      </c>
      <c r="J22" s="10" t="n"/>
      <c r="K22" s="11" t="n"/>
      <c r="L22" s="12">
        <f>IF(AND(ISNUMBER(E22),ISNUMBER(K22)),E22*K22,0)</f>
        <v/>
      </c>
      <c r="M22" s="12">
        <f>IF(SUM($L$6:$L$70)=0,0,L22/SUM($L$6:$L$70)*Параметры!$B$9)</f>
        <v/>
      </c>
      <c r="N22" s="13">
        <f>(L22+M22)*Параметры!$B$4</f>
        <v/>
      </c>
      <c r="O22" s="13">
        <f>MAX(N22*N(H22),IF(AND(ISNUMBER(J22),ISNUMBER(E22)),E22*J22*N(I22)*Параметры!$B$5,0))</f>
        <v/>
      </c>
      <c r="P22" s="13">
        <f>(N22+O22)*Параметры!$B$6</f>
        <v/>
      </c>
      <c r="Q22" s="13">
        <f>O22+P22</f>
        <v/>
      </c>
      <c r="R22" s="13">
        <f>IF(OR(N(E22)=0,N22=0),"",(N22+O22+($D$78+$D$80+$D$81)*N22/$D$75)/E22)</f>
        <v/>
      </c>
      <c r="S22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22" s="14" t="inlineStr">
        <is>
          <t>средняя</t>
        </is>
      </c>
      <c r="U22" s="6" t="inlineStr">
        <is>
          <t>Специфическая/комбинированная ставка — для расчёта обязательно укажите вес нетто. Если полотно тканое — 6307 10 900 0.</t>
        </is>
      </c>
    </row>
    <row r="23">
      <c r="A23" s="6" t="n">
        <v>14</v>
      </c>
      <c r="B23" s="6" t="inlineStr">
        <is>
          <t>Моп для сухой уборки ворсистый (антистатический)</t>
        </is>
      </c>
      <c r="C23" s="6" t="inlineStr">
        <is>
          <t>Мопы сухие — антистатик</t>
        </is>
      </c>
      <c r="D23" s="6" t="inlineStr">
        <is>
          <t>шт</t>
        </is>
      </c>
      <c r="E23" s="6" t="n">
        <v>100</v>
      </c>
      <c r="F23" s="7" t="inlineStr">
        <is>
          <t>6307101000</t>
        </is>
      </c>
      <c r="G23" s="6" t="inlineStr">
        <is>
          <t>Тряпки для мытья полов, протирочные материалы — трикотажные</t>
        </is>
      </c>
      <c r="H23" s="8" t="n"/>
      <c r="I23" s="9" t="n">
        <v>0.61</v>
      </c>
      <c r="J23" s="10" t="n"/>
      <c r="K23" s="11" t="n"/>
      <c r="L23" s="12">
        <f>IF(AND(ISNUMBER(E23),ISNUMBER(K23)),E23*K23,0)</f>
        <v/>
      </c>
      <c r="M23" s="12">
        <f>IF(SUM($L$6:$L$70)=0,0,L23/SUM($L$6:$L$70)*Параметры!$B$9)</f>
        <v/>
      </c>
      <c r="N23" s="13">
        <f>(L23+M23)*Параметры!$B$4</f>
        <v/>
      </c>
      <c r="O23" s="13">
        <f>MAX(N23*N(H23),IF(AND(ISNUMBER(J23),ISNUMBER(E23)),E23*J23*N(I23)*Параметры!$B$5,0))</f>
        <v/>
      </c>
      <c r="P23" s="13">
        <f>(N23+O23)*Параметры!$B$6</f>
        <v/>
      </c>
      <c r="Q23" s="13">
        <f>O23+P23</f>
        <v/>
      </c>
      <c r="R23" s="13">
        <f>IF(OR(N(E23)=0,N23=0),"",(N23+O23+($D$78+$D$80+$D$81)*N23/$D$75)/E23)</f>
        <v/>
      </c>
      <c r="S23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23" s="14" t="inlineStr">
        <is>
          <t>средняя</t>
        </is>
      </c>
      <c r="U23" s="6" t="inlineStr">
        <is>
          <t>Специфическая/комбинированная ставка — для расчёта обязательно укажите вес нетто. Если полотно тканое — 6307 10 900 0.</t>
        </is>
      </c>
    </row>
    <row r="24">
      <c r="A24" s="6" t="n">
        <v>15</v>
      </c>
      <c r="B24" s="6" t="inlineStr">
        <is>
          <t>Моп-щётка для сбора крупного мусора</t>
        </is>
      </c>
      <c r="C24" s="6" t="inlineStr">
        <is>
          <t>Мопы сухие — крупный мусор</t>
        </is>
      </c>
      <c r="D24" s="6" t="inlineStr">
        <is>
          <t>шт</t>
        </is>
      </c>
      <c r="E24" s="6" t="n">
        <v>50</v>
      </c>
      <c r="F24" s="7" t="inlineStr">
        <is>
          <t>9603909100</t>
        </is>
      </c>
      <c r="G24" s="6" t="inlineStr">
        <is>
          <t>Щётки и швабры для дома/хозяйственные, щётки для уборки покрытий</t>
        </is>
      </c>
      <c r="H24" s="8" t="n">
        <v>0.1</v>
      </c>
      <c r="I24" s="9" t="n"/>
      <c r="J24" s="10" t="n"/>
      <c r="K24" s="11" t="n"/>
      <c r="L24" s="12">
        <f>IF(AND(ISNUMBER(E24),ISNUMBER(K24)),E24*K24,0)</f>
        <v/>
      </c>
      <c r="M24" s="12">
        <f>IF(SUM($L$6:$L$70)=0,0,L24/SUM($L$6:$L$70)*Параметры!$B$9)</f>
        <v/>
      </c>
      <c r="N24" s="13">
        <f>(L24+M24)*Параметры!$B$4</f>
        <v/>
      </c>
      <c r="O24" s="13">
        <f>MAX(N24*N(H24),IF(AND(ISNUMBER(J24),ISNUMBER(E24)),E24*J24*N(I24)*Параметры!$B$5,0))</f>
        <v/>
      </c>
      <c r="P24" s="13">
        <f>(N24+O24)*Параметры!$B$6</f>
        <v/>
      </c>
      <c r="Q24" s="13">
        <f>O24+P24</f>
        <v/>
      </c>
      <c r="R24" s="13">
        <f>IF(OR(N(E24)=0,N24=0),"",(N24+O24+($D$78+$D$80+$D$81)*N24/$D$75)/E24)</f>
        <v/>
      </c>
      <c r="S24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24" s="14" t="inlineStr">
        <is>
          <t>высокая</t>
        </is>
      </c>
      <c r="U24" s="6" t="inlineStr"/>
    </row>
    <row r="25">
      <c r="A25" s="5" t="inlineStr">
        <is>
          <t>Держатели и рукоятки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6" t="n">
        <v>16</v>
      </c>
      <c r="B26" s="6" t="inlineStr">
        <is>
          <t>Держатель для плоского мопа (флет-моп), быстросъёмный</t>
        </is>
      </c>
      <c r="C26" s="6" t="inlineStr">
        <is>
          <t>Держатели</t>
        </is>
      </c>
      <c r="D26" s="6" t="inlineStr">
        <is>
          <t>шт</t>
        </is>
      </c>
      <c r="E26" s="6" t="n">
        <v>25</v>
      </c>
      <c r="F26" s="7" t="inlineStr">
        <is>
          <t>3926909709</t>
        </is>
      </c>
      <c r="G26" s="6" t="inlineStr">
        <is>
          <t>Изделия из пластмасс прочие</t>
        </is>
      </c>
      <c r="H26" s="8" t="n">
        <v>0.065</v>
      </c>
      <c r="I26" s="9" t="n"/>
      <c r="J26" s="10" t="n"/>
      <c r="K26" s="11" t="n"/>
      <c r="L26" s="12">
        <f>IF(AND(ISNUMBER(E26),ISNUMBER(K26)),E26*K26,0)</f>
        <v/>
      </c>
      <c r="M26" s="12">
        <f>IF(SUM($L$6:$L$70)=0,0,L26/SUM($L$6:$L$70)*Параметры!$B$9)</f>
        <v/>
      </c>
      <c r="N26" s="13">
        <f>(L26+M26)*Параметры!$B$4</f>
        <v/>
      </c>
      <c r="O26" s="13">
        <f>MAX(N26*N(H26),IF(AND(ISNUMBER(J26),ISNUMBER(E26)),E26*J26*N(I26)*Параметры!$B$5,0))</f>
        <v/>
      </c>
      <c r="P26" s="13">
        <f>(N26+O26)*Параметры!$B$6</f>
        <v/>
      </c>
      <c r="Q26" s="13">
        <f>O26+P26</f>
        <v/>
      </c>
      <c r="R26" s="13">
        <f>IF(OR(N(E26)=0,N26=0),"",(N26+O26+($D$78+$D$80+$D$81)*N26/$D$75)/E26)</f>
        <v/>
      </c>
      <c r="S26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26" s="14" t="inlineStr">
        <is>
          <t>средняя</t>
        </is>
      </c>
      <c r="U26" s="6" t="inlineStr">
        <is>
          <t>Если держатель алюминиевый — 7616 99 900 8 (9%).</t>
        </is>
      </c>
    </row>
    <row r="27">
      <c r="A27" s="6" t="n">
        <v>17</v>
      </c>
      <c r="B27" s="6" t="inlineStr">
        <is>
          <t>Держатель для петлевого/веревочного мопа</t>
        </is>
      </c>
      <c r="C27" s="6" t="inlineStr">
        <is>
          <t>Держатели</t>
        </is>
      </c>
      <c r="D27" s="6" t="inlineStr">
        <is>
          <t>шт</t>
        </is>
      </c>
      <c r="E27" s="6" t="n">
        <v>25</v>
      </c>
      <c r="F27" s="7" t="inlineStr">
        <is>
          <t>3926909709</t>
        </is>
      </c>
      <c r="G27" s="6" t="inlineStr">
        <is>
          <t>Изделия из пластмасс прочие</t>
        </is>
      </c>
      <c r="H27" s="8" t="n">
        <v>0.065</v>
      </c>
      <c r="I27" s="9" t="n"/>
      <c r="J27" s="10" t="n"/>
      <c r="K27" s="11" t="n"/>
      <c r="L27" s="12">
        <f>IF(AND(ISNUMBER(E27),ISNUMBER(K27)),E27*K27,0)</f>
        <v/>
      </c>
      <c r="M27" s="12">
        <f>IF(SUM($L$6:$L$70)=0,0,L27/SUM($L$6:$L$70)*Параметры!$B$9)</f>
        <v/>
      </c>
      <c r="N27" s="13">
        <f>(L27+M27)*Параметры!$B$4</f>
        <v/>
      </c>
      <c r="O27" s="13">
        <f>MAX(N27*N(H27),IF(AND(ISNUMBER(J27),ISNUMBER(E27)),E27*J27*N(I27)*Параметры!$B$5,0))</f>
        <v/>
      </c>
      <c r="P27" s="13">
        <f>(N27+O27)*Параметры!$B$6</f>
        <v/>
      </c>
      <c r="Q27" s="13">
        <f>O27+P27</f>
        <v/>
      </c>
      <c r="R27" s="13">
        <f>IF(OR(N(E27)=0,N27=0),"",(N27+O27+($D$78+$D$80+$D$81)*N27/$D$75)/E27)</f>
        <v/>
      </c>
      <c r="S27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27" s="14" t="inlineStr">
        <is>
          <t>средняя</t>
        </is>
      </c>
      <c r="U27" s="6" t="inlineStr">
        <is>
          <t>Если держатель металлический — 7616 / 7326.</t>
        </is>
      </c>
    </row>
    <row r="28">
      <c r="A28" s="6" t="n">
        <v>18</v>
      </c>
      <c r="B28" s="6" t="inlineStr">
        <is>
          <t>Ручка телескопическая алюминиевая</t>
        </is>
      </c>
      <c r="C28" s="6" t="inlineStr">
        <is>
          <t>Рукоятки</t>
        </is>
      </c>
      <c r="D28" s="6" t="inlineStr">
        <is>
          <t>шт</t>
        </is>
      </c>
      <c r="E28" s="6" t="n">
        <v>50</v>
      </c>
      <c r="F28" s="7" t="inlineStr">
        <is>
          <t>7616999008</t>
        </is>
      </c>
      <c r="G28" s="6" t="inlineStr">
        <is>
          <t>Изделия из алюминия прочие</t>
        </is>
      </c>
      <c r="H28" s="8" t="n">
        <v>0.09</v>
      </c>
      <c r="I28" s="9" t="n"/>
      <c r="J28" s="10" t="n"/>
      <c r="K28" s="11" t="n"/>
      <c r="L28" s="12">
        <f>IF(AND(ISNUMBER(E28),ISNUMBER(K28)),E28*K28,0)</f>
        <v/>
      </c>
      <c r="M28" s="12">
        <f>IF(SUM($L$6:$L$70)=0,0,L28/SUM($L$6:$L$70)*Параметры!$B$9)</f>
        <v/>
      </c>
      <c r="N28" s="13">
        <f>(L28+M28)*Параметры!$B$4</f>
        <v/>
      </c>
      <c r="O28" s="13">
        <f>MAX(N28*N(H28),IF(AND(ISNUMBER(J28),ISNUMBER(E28)),E28*J28*N(I28)*Параметры!$B$5,0))</f>
        <v/>
      </c>
      <c r="P28" s="13">
        <f>(N28+O28)*Параметры!$B$6</f>
        <v/>
      </c>
      <c r="Q28" s="13">
        <f>O28+P28</f>
        <v/>
      </c>
      <c r="R28" s="13">
        <f>IF(OR(N(E28)=0,N28=0),"",(N28+O28+($D$78+$D$80+$D$81)*N28/$D$75)/E28)</f>
        <v/>
      </c>
      <c r="S28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28" s="14" t="inlineStr">
        <is>
          <t>высокая</t>
        </is>
      </c>
      <c r="U28" s="6" t="inlineStr">
        <is>
          <t>Если из стекловолокна/карбона — классифицировать по материалу.</t>
        </is>
      </c>
    </row>
    <row r="29">
      <c r="A29" s="6" t="n">
        <v>19</v>
      </c>
      <c r="B29" s="6" t="inlineStr">
        <is>
          <t>Ручка телескопическая для высоких потолков/стеллажей (удлинённая)</t>
        </is>
      </c>
      <c r="C29" s="6" t="inlineStr">
        <is>
          <t>Рукоятки</t>
        </is>
      </c>
      <c r="D29" s="6" t="inlineStr">
        <is>
          <t>шт</t>
        </is>
      </c>
      <c r="E29" s="6" t="n">
        <v>50</v>
      </c>
      <c r="F29" s="7" t="inlineStr">
        <is>
          <t>7616999008</t>
        </is>
      </c>
      <c r="G29" s="6" t="inlineStr">
        <is>
          <t>Изделия из алюминия прочие</t>
        </is>
      </c>
      <c r="H29" s="8" t="n">
        <v>0.09</v>
      </c>
      <c r="I29" s="9" t="n"/>
      <c r="J29" s="10" t="n"/>
      <c r="K29" s="11" t="n"/>
      <c r="L29" s="12">
        <f>IF(AND(ISNUMBER(E29),ISNUMBER(K29)),E29*K29,0)</f>
        <v/>
      </c>
      <c r="M29" s="12">
        <f>IF(SUM($L$6:$L$70)=0,0,L29/SUM($L$6:$L$70)*Параметры!$B$9)</f>
        <v/>
      </c>
      <c r="N29" s="13">
        <f>(L29+M29)*Параметры!$B$4</f>
        <v/>
      </c>
      <c r="O29" s="13">
        <f>MAX(N29*N(H29),IF(AND(ISNUMBER(J29),ISNUMBER(E29)),E29*J29*N(I29)*Параметры!$B$5,0))</f>
        <v/>
      </c>
      <c r="P29" s="13">
        <f>(N29+O29)*Параметры!$B$6</f>
        <v/>
      </c>
      <c r="Q29" s="13">
        <f>O29+P29</f>
        <v/>
      </c>
      <c r="R29" s="13">
        <f>IF(OR(N(E29)=0,N29=0),"",(N29+O29+($D$78+$D$80+$D$81)*N29/$D$75)/E29)</f>
        <v/>
      </c>
      <c r="S29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29" s="14" t="inlineStr">
        <is>
          <t>высокая</t>
        </is>
      </c>
      <c r="U29" s="6" t="inlineStr"/>
    </row>
    <row r="30">
      <c r="A30" s="5" t="inlineStr">
        <is>
          <t>Сгоны и скребки для воды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6" t="n">
        <v>20</v>
      </c>
      <c r="B31" s="6" t="inlineStr">
        <is>
          <t>Сгон для воды на пол (водосгон), резиновый, широкий</t>
        </is>
      </c>
      <c r="C31" s="6" t="inlineStr">
        <is>
          <t>Сгоны — полы</t>
        </is>
      </c>
      <c r="D31" s="6" t="inlineStr">
        <is>
          <t>шт</t>
        </is>
      </c>
      <c r="E31" s="6" t="n">
        <v>20</v>
      </c>
      <c r="F31" s="7" t="inlineStr">
        <is>
          <t>9603909900</t>
        </is>
      </c>
      <c r="G31" s="6" t="inlineStr">
        <is>
          <t>Прочие щётки, швабры (мопы); ракли резиновые (сгоны)</t>
        </is>
      </c>
      <c r="H31" s="8" t="n">
        <v>0.125</v>
      </c>
      <c r="I31" s="9" t="n"/>
      <c r="J31" s="10" t="n"/>
      <c r="K31" s="11" t="n"/>
      <c r="L31" s="12">
        <f>IF(AND(ISNUMBER(E31),ISNUMBER(K31)),E31*K31,0)</f>
        <v/>
      </c>
      <c r="M31" s="12">
        <f>IF(SUM($L$6:$L$70)=0,0,L31/SUM($L$6:$L$70)*Параметры!$B$9)</f>
        <v/>
      </c>
      <c r="N31" s="13">
        <f>(L31+M31)*Параметры!$B$4</f>
        <v/>
      </c>
      <c r="O31" s="13">
        <f>MAX(N31*N(H31),IF(AND(ISNUMBER(J31),ISNUMBER(E31)),E31*J31*N(I31)*Параметры!$B$5,0))</f>
        <v/>
      </c>
      <c r="P31" s="13">
        <f>(N31+O31)*Параметры!$B$6</f>
        <v/>
      </c>
      <c r="Q31" s="13">
        <f>O31+P31</f>
        <v/>
      </c>
      <c r="R31" s="13">
        <f>IF(OR(N(E31)=0,N31=0),"",(N31+O31+($D$78+$D$80+$D$81)*N31/$D$75)/E31)</f>
        <v/>
      </c>
      <c r="S31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31" s="14" t="inlineStr">
        <is>
          <t>высокая</t>
        </is>
      </c>
      <c r="U31" s="6" t="inlineStr">
        <is>
          <t>Резиновые сгоны прямо названы в тексте позиции 9603.</t>
        </is>
      </c>
    </row>
    <row r="32">
      <c r="A32" s="6" t="n">
        <v>21</v>
      </c>
      <c r="B32" s="6" t="inlineStr">
        <is>
          <t>Сгон для воды на пол, узкий (для труднодоступных зон/углов)</t>
        </is>
      </c>
      <c r="C32" s="6" t="inlineStr">
        <is>
          <t>Сгоны — полы</t>
        </is>
      </c>
      <c r="D32" s="6" t="inlineStr">
        <is>
          <t>шт</t>
        </is>
      </c>
      <c r="E32" s="6" t="n">
        <v>20</v>
      </c>
      <c r="F32" s="7" t="inlineStr">
        <is>
          <t>9603909900</t>
        </is>
      </c>
      <c r="G32" s="6" t="inlineStr">
        <is>
          <t>Прочие щётки, швабры (мопы); ракли резиновые (сгоны)</t>
        </is>
      </c>
      <c r="H32" s="8" t="n">
        <v>0.125</v>
      </c>
      <c r="I32" s="9" t="n"/>
      <c r="J32" s="10" t="n"/>
      <c r="K32" s="11" t="n"/>
      <c r="L32" s="12">
        <f>IF(AND(ISNUMBER(E32),ISNUMBER(K32)),E32*K32,0)</f>
        <v/>
      </c>
      <c r="M32" s="12">
        <f>IF(SUM($L$6:$L$70)=0,0,L32/SUM($L$6:$L$70)*Параметры!$B$9)</f>
        <v/>
      </c>
      <c r="N32" s="13">
        <f>(L32+M32)*Параметры!$B$4</f>
        <v/>
      </c>
      <c r="O32" s="13">
        <f>MAX(N32*N(H32),IF(AND(ISNUMBER(J32),ISNUMBER(E32)),E32*J32*N(I32)*Параметры!$B$5,0))</f>
        <v/>
      </c>
      <c r="P32" s="13">
        <f>(N32+O32)*Параметры!$B$6</f>
        <v/>
      </c>
      <c r="Q32" s="13">
        <f>O32+P32</f>
        <v/>
      </c>
      <c r="R32" s="13">
        <f>IF(OR(N(E32)=0,N32=0),"",(N32+O32+($D$78+$D$80+$D$81)*N32/$D$75)/E32)</f>
        <v/>
      </c>
      <c r="S32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32" s="14" t="inlineStr">
        <is>
          <t>высокая</t>
        </is>
      </c>
      <c r="U32" s="6" t="inlineStr"/>
    </row>
    <row r="33">
      <c r="A33" s="6" t="n">
        <v>22</v>
      </c>
      <c r="B33" s="6" t="inlineStr">
        <is>
          <t>Сгон для стёкол (склиз) с мягкой резинкой</t>
        </is>
      </c>
      <c r="C33" s="6" t="inlineStr">
        <is>
          <t>Сгоны — стёкла</t>
        </is>
      </c>
      <c r="D33" s="6" t="inlineStr">
        <is>
          <t>шт</t>
        </is>
      </c>
      <c r="E33" s="6" t="n">
        <v>30</v>
      </c>
      <c r="F33" s="7" t="inlineStr">
        <is>
          <t>9603909900</t>
        </is>
      </c>
      <c r="G33" s="6" t="inlineStr">
        <is>
          <t>Прочие щётки, швабры (мопы); ракли резиновые (сгоны)</t>
        </is>
      </c>
      <c r="H33" s="8" t="n">
        <v>0.125</v>
      </c>
      <c r="I33" s="9" t="n"/>
      <c r="J33" s="10" t="n"/>
      <c r="K33" s="11" t="n"/>
      <c r="L33" s="12">
        <f>IF(AND(ISNUMBER(E33),ISNUMBER(K33)),E33*K33,0)</f>
        <v/>
      </c>
      <c r="M33" s="12">
        <f>IF(SUM($L$6:$L$70)=0,0,L33/SUM($L$6:$L$70)*Параметры!$B$9)</f>
        <v/>
      </c>
      <c r="N33" s="13">
        <f>(L33+M33)*Параметры!$B$4</f>
        <v/>
      </c>
      <c r="O33" s="13">
        <f>MAX(N33*N(H33),IF(AND(ISNUMBER(J33),ISNUMBER(E33)),E33*J33*N(I33)*Параметры!$B$5,0))</f>
        <v/>
      </c>
      <c r="P33" s="13">
        <f>(N33+O33)*Параметры!$B$6</f>
        <v/>
      </c>
      <c r="Q33" s="13">
        <f>O33+P33</f>
        <v/>
      </c>
      <c r="R33" s="13">
        <f>IF(OR(N(E33)=0,N33=0),"",(N33+O33+($D$78+$D$80+$D$81)*N33/$D$75)/E33)</f>
        <v/>
      </c>
      <c r="S33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33" s="14" t="inlineStr">
        <is>
          <t>высокая</t>
        </is>
      </c>
      <c r="U33" s="6" t="inlineStr"/>
    </row>
    <row r="34">
      <c r="A34" s="6" t="n">
        <v>23</v>
      </c>
      <c r="B34" s="6" t="inlineStr">
        <is>
          <t>Сгон комбинированный (стекло + пол, двусторонний)</t>
        </is>
      </c>
      <c r="C34" s="6" t="inlineStr">
        <is>
          <t>Сгоны универсальные</t>
        </is>
      </c>
      <c r="D34" s="6" t="inlineStr">
        <is>
          <t>шт</t>
        </is>
      </c>
      <c r="E34" s="6" t="n">
        <v>20</v>
      </c>
      <c r="F34" s="7" t="inlineStr">
        <is>
          <t>9603909900</t>
        </is>
      </c>
      <c r="G34" s="6" t="inlineStr">
        <is>
          <t>Прочие щётки, швабры (мопы); ракли резиновые (сгоны)</t>
        </is>
      </c>
      <c r="H34" s="8" t="n">
        <v>0.125</v>
      </c>
      <c r="I34" s="9" t="n"/>
      <c r="J34" s="10" t="n"/>
      <c r="K34" s="11" t="n"/>
      <c r="L34" s="12">
        <f>IF(AND(ISNUMBER(E34),ISNUMBER(K34)),E34*K34,0)</f>
        <v/>
      </c>
      <c r="M34" s="12">
        <f>IF(SUM($L$6:$L$70)=0,0,L34/SUM($L$6:$L$70)*Параметры!$B$9)</f>
        <v/>
      </c>
      <c r="N34" s="13">
        <f>(L34+M34)*Параметры!$B$4</f>
        <v/>
      </c>
      <c r="O34" s="13">
        <f>MAX(N34*N(H34),IF(AND(ISNUMBER(J34),ISNUMBER(E34)),E34*J34*N(I34)*Параметры!$B$5,0))</f>
        <v/>
      </c>
      <c r="P34" s="13">
        <f>(N34+O34)*Параметры!$B$6</f>
        <v/>
      </c>
      <c r="Q34" s="13">
        <f>O34+P34</f>
        <v/>
      </c>
      <c r="R34" s="13">
        <f>IF(OR(N(E34)=0,N34=0),"",(N34+O34+($D$78+$D$80+$D$81)*N34/$D$75)/E34)</f>
        <v/>
      </c>
      <c r="S34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34" s="14" t="inlineStr">
        <is>
          <t>высокая</t>
        </is>
      </c>
      <c r="U34" s="6" t="inlineStr"/>
    </row>
    <row r="35">
      <c r="A35" s="6" t="n">
        <v>24</v>
      </c>
      <c r="B35" s="6" t="inlineStr">
        <is>
          <t>Запасные резинки/лезвия для сгонов</t>
        </is>
      </c>
      <c r="C35" s="6" t="inlineStr">
        <is>
          <t>Сгоны — расходники</t>
        </is>
      </c>
      <c r="D35" s="6" t="inlineStr">
        <is>
          <t>уп</t>
        </is>
      </c>
      <c r="E35" s="6" t="n">
        <v>20</v>
      </c>
      <c r="F35" s="7" t="inlineStr">
        <is>
          <t>4016999708</t>
        </is>
      </c>
      <c r="G35" s="6" t="inlineStr">
        <is>
          <t>Изделия из вулканизованной резины прочие</t>
        </is>
      </c>
      <c r="H35" s="8" t="n">
        <v>0.1</v>
      </c>
      <c r="I35" s="9" t="n"/>
      <c r="J35" s="10" t="n"/>
      <c r="K35" s="11" t="n"/>
      <c r="L35" s="12">
        <f>IF(AND(ISNUMBER(E35),ISNUMBER(K35)),E35*K35,0)</f>
        <v/>
      </c>
      <c r="M35" s="12">
        <f>IF(SUM($L$6:$L$70)=0,0,L35/SUM($L$6:$L$70)*Параметры!$B$9)</f>
        <v/>
      </c>
      <c r="N35" s="13">
        <f>(L35+M35)*Параметры!$B$4</f>
        <v/>
      </c>
      <c r="O35" s="13">
        <f>MAX(N35*N(H35),IF(AND(ISNUMBER(J35),ISNUMBER(E35)),E35*J35*N(I35)*Параметры!$B$5,0))</f>
        <v/>
      </c>
      <c r="P35" s="13">
        <f>(N35+O35)*Параметры!$B$6</f>
        <v/>
      </c>
      <c r="Q35" s="13">
        <f>O35+P35</f>
        <v/>
      </c>
      <c r="R35" s="13">
        <f>IF(OR(N(E35)=0,N35=0),"",(N35+O35+($D$78+$D$80+$D$81)*N35/$D$75)/E35)</f>
        <v/>
      </c>
      <c r="S35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35" s="14" t="inlineStr">
        <is>
          <t>средняя</t>
        </is>
      </c>
      <c r="U35" s="6" t="inlineStr"/>
    </row>
    <row r="36">
      <c r="A36" s="6" t="n">
        <v>25</v>
      </c>
      <c r="B36" s="6" t="inlineStr">
        <is>
          <t>Скребок для пола с металлическим лезвием (снятие наклеек/жвачки)</t>
        </is>
      </c>
      <c r="C36" s="6" t="inlineStr">
        <is>
          <t>Скребки</t>
        </is>
      </c>
      <c r="D36" s="6" t="inlineStr">
        <is>
          <t>шт</t>
        </is>
      </c>
      <c r="E36" s="6" t="n">
        <v>100</v>
      </c>
      <c r="F36" s="7" t="inlineStr">
        <is>
          <t>8205598099</t>
        </is>
      </c>
      <c r="G36" s="6" t="inlineStr">
        <is>
          <t>Инструменты ручные прочие</t>
        </is>
      </c>
      <c r="H36" s="8" t="n">
        <v>0.03</v>
      </c>
      <c r="I36" s="9" t="n"/>
      <c r="J36" s="10" t="n"/>
      <c r="K36" s="11" t="n"/>
      <c r="L36" s="12">
        <f>IF(AND(ISNUMBER(E36),ISNUMBER(K36)),E36*K36,0)</f>
        <v/>
      </c>
      <c r="M36" s="12">
        <f>IF(SUM($L$6:$L$70)=0,0,L36/SUM($L$6:$L$70)*Параметры!$B$9)</f>
        <v/>
      </c>
      <c r="N36" s="13">
        <f>(L36+M36)*Параметры!$B$4</f>
        <v/>
      </c>
      <c r="O36" s="13">
        <f>MAX(N36*N(H36),IF(AND(ISNUMBER(J36),ISNUMBER(E36)),E36*J36*N(I36)*Параметры!$B$5,0))</f>
        <v/>
      </c>
      <c r="P36" s="13">
        <f>(N36+O36)*Параметры!$B$6</f>
        <v/>
      </c>
      <c r="Q36" s="13">
        <f>O36+P36</f>
        <v/>
      </c>
      <c r="R36" s="13">
        <f>IF(OR(N(E36)=0,N36=0),"",(N36+O36+($D$78+$D$80+$D$81)*N36/$D$75)/E36)</f>
        <v/>
      </c>
      <c r="S36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36" s="14" t="inlineStr">
        <is>
          <t>средняя</t>
        </is>
      </c>
      <c r="U36" s="6" t="inlineStr">
        <is>
          <t>Подсубпозиция 8205 59 80 делилась — 10-й знак сверить с брокером.</t>
        </is>
      </c>
    </row>
    <row r="37">
      <c r="A37" s="5" t="inlineStr">
        <is>
          <t>Салфетки из микрофибры (цветовое кодирование)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6" t="n">
        <v>26</v>
      </c>
      <c r="B38" s="6" t="inlineStr">
        <is>
          <t>Салфетки из микрофибры Vileda MicroFit — красный 40х40</t>
        </is>
      </c>
      <c r="C38" s="6" t="inlineStr">
        <is>
          <t>Салфетки (цвет. код.)</t>
        </is>
      </c>
      <c r="D38" s="6" t="inlineStr">
        <is>
          <t>шт</t>
        </is>
      </c>
      <c r="E38" s="6" t="n">
        <v>200</v>
      </c>
      <c r="F38" s="7" t="inlineStr">
        <is>
          <t>6307101000</t>
        </is>
      </c>
      <c r="G38" s="6" t="inlineStr">
        <is>
          <t>Тряпки для мытья полов, протирочные материалы — трикотажные</t>
        </is>
      </c>
      <c r="H38" s="8" t="n"/>
      <c r="I38" s="9" t="n">
        <v>0.61</v>
      </c>
      <c r="J38" s="10" t="n"/>
      <c r="K38" s="11" t="n"/>
      <c r="L38" s="12">
        <f>IF(AND(ISNUMBER(E38),ISNUMBER(K38)),E38*K38,0)</f>
        <v/>
      </c>
      <c r="M38" s="12">
        <f>IF(SUM($L$6:$L$70)=0,0,L38/SUM($L$6:$L$70)*Параметры!$B$9)</f>
        <v/>
      </c>
      <c r="N38" s="13">
        <f>(L38+M38)*Параметры!$B$4</f>
        <v/>
      </c>
      <c r="O38" s="13">
        <f>MAX(N38*N(H38),IF(AND(ISNUMBER(J38),ISNUMBER(E38)),E38*J38*N(I38)*Параметры!$B$5,0))</f>
        <v/>
      </c>
      <c r="P38" s="13">
        <f>(N38+O38)*Параметры!$B$6</f>
        <v/>
      </c>
      <c r="Q38" s="13">
        <f>O38+P38</f>
        <v/>
      </c>
      <c r="R38" s="13">
        <f>IF(OR(N(E38)=0,N38=0),"",(N38+O38+($D$78+$D$80+$D$81)*N38/$D$75)/E38)</f>
        <v/>
      </c>
      <c r="S38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38" s="14" t="inlineStr">
        <is>
          <t>высокая</t>
        </is>
      </c>
      <c r="U38" s="6" t="inlineStr">
        <is>
          <t>Специфическая/комбинированная ставка — для расчёта обязательно укажите вес нетто. Микрофибра MicroFit — трикотажное полотно (проверить по спецификации).</t>
        </is>
      </c>
    </row>
    <row r="39">
      <c r="A39" s="6" t="n">
        <v>27</v>
      </c>
      <c r="B39" s="6" t="inlineStr">
        <is>
          <t>Салфетки из микрофибры Vileda MicroFit — синий 40х40</t>
        </is>
      </c>
      <c r="C39" s="6" t="inlineStr">
        <is>
          <t>Салфетки (цвет. код.)</t>
        </is>
      </c>
      <c r="D39" s="6" t="inlineStr">
        <is>
          <t>шт</t>
        </is>
      </c>
      <c r="E39" s="6" t="n">
        <v>200</v>
      </c>
      <c r="F39" s="7" t="inlineStr">
        <is>
          <t>6307101000</t>
        </is>
      </c>
      <c r="G39" s="6" t="inlineStr">
        <is>
          <t>Тряпки для мытья полов, протирочные материалы — трикотажные</t>
        </is>
      </c>
      <c r="H39" s="8" t="n"/>
      <c r="I39" s="9" t="n">
        <v>0.61</v>
      </c>
      <c r="J39" s="10" t="n"/>
      <c r="K39" s="11" t="n"/>
      <c r="L39" s="12">
        <f>IF(AND(ISNUMBER(E39),ISNUMBER(K39)),E39*K39,0)</f>
        <v/>
      </c>
      <c r="M39" s="12">
        <f>IF(SUM($L$6:$L$70)=0,0,L39/SUM($L$6:$L$70)*Параметры!$B$9)</f>
        <v/>
      </c>
      <c r="N39" s="13">
        <f>(L39+M39)*Параметры!$B$4</f>
        <v/>
      </c>
      <c r="O39" s="13">
        <f>MAX(N39*N(H39),IF(AND(ISNUMBER(J39),ISNUMBER(E39)),E39*J39*N(I39)*Параметры!$B$5,0))</f>
        <v/>
      </c>
      <c r="P39" s="13">
        <f>(N39+O39)*Параметры!$B$6</f>
        <v/>
      </c>
      <c r="Q39" s="13">
        <f>O39+P39</f>
        <v/>
      </c>
      <c r="R39" s="13">
        <f>IF(OR(N(E39)=0,N39=0),"",(N39+O39+($D$78+$D$80+$D$81)*N39/$D$75)/E39)</f>
        <v/>
      </c>
      <c r="S39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39" s="14" t="inlineStr">
        <is>
          <t>высокая</t>
        </is>
      </c>
      <c r="U39" s="6" t="inlineStr">
        <is>
          <t>Специфическая/комбинированная ставка — для расчёта обязательно укажите вес нетто.</t>
        </is>
      </c>
    </row>
    <row r="40">
      <c r="A40" s="6" t="n">
        <v>28</v>
      </c>
      <c r="B40" s="6" t="inlineStr">
        <is>
          <t>Салфетки из микрофибры Vileda MicroFit — жёлтый 40х40</t>
        </is>
      </c>
      <c r="C40" s="6" t="inlineStr">
        <is>
          <t>Салфетки (цвет. код.)</t>
        </is>
      </c>
      <c r="D40" s="6" t="inlineStr">
        <is>
          <t>шт</t>
        </is>
      </c>
      <c r="E40" s="6" t="n">
        <v>200</v>
      </c>
      <c r="F40" s="7" t="inlineStr">
        <is>
          <t>6307101000</t>
        </is>
      </c>
      <c r="G40" s="6" t="inlineStr">
        <is>
          <t>Тряпки для мытья полов, протирочные материалы — трикотажные</t>
        </is>
      </c>
      <c r="H40" s="8" t="n"/>
      <c r="I40" s="9" t="n">
        <v>0.61</v>
      </c>
      <c r="J40" s="10" t="n"/>
      <c r="K40" s="11" t="n"/>
      <c r="L40" s="12">
        <f>IF(AND(ISNUMBER(E40),ISNUMBER(K40)),E40*K40,0)</f>
        <v/>
      </c>
      <c r="M40" s="12">
        <f>IF(SUM($L$6:$L$70)=0,0,L40/SUM($L$6:$L$70)*Параметры!$B$9)</f>
        <v/>
      </c>
      <c r="N40" s="13">
        <f>(L40+M40)*Параметры!$B$4</f>
        <v/>
      </c>
      <c r="O40" s="13">
        <f>MAX(N40*N(H40),IF(AND(ISNUMBER(J40),ISNUMBER(E40)),E40*J40*N(I40)*Параметры!$B$5,0))</f>
        <v/>
      </c>
      <c r="P40" s="13">
        <f>(N40+O40)*Параметры!$B$6</f>
        <v/>
      </c>
      <c r="Q40" s="13">
        <f>O40+P40</f>
        <v/>
      </c>
      <c r="R40" s="13">
        <f>IF(OR(N(E40)=0,N40=0),"",(N40+O40+($D$78+$D$80+$D$81)*N40/$D$75)/E40)</f>
        <v/>
      </c>
      <c r="S40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40" s="14" t="inlineStr">
        <is>
          <t>высокая</t>
        </is>
      </c>
      <c r="U40" s="6" t="inlineStr">
        <is>
          <t>Специфическая/комбинированная ставка — для расчёта обязательно укажите вес нетто.</t>
        </is>
      </c>
    </row>
    <row r="41">
      <c r="A41" s="6" t="n">
        <v>29</v>
      </c>
      <c r="B41" s="6" t="inlineStr">
        <is>
          <t>Салфетки из микрофибры Vileda MicroFit — зелёный 40х40</t>
        </is>
      </c>
      <c r="C41" s="6" t="inlineStr">
        <is>
          <t>Салфетки (цвет. код.)</t>
        </is>
      </c>
      <c r="D41" s="6" t="inlineStr">
        <is>
          <t>шт</t>
        </is>
      </c>
      <c r="E41" s="6" t="n">
        <v>200</v>
      </c>
      <c r="F41" s="7" t="inlineStr">
        <is>
          <t>6307101000</t>
        </is>
      </c>
      <c r="G41" s="6" t="inlineStr">
        <is>
          <t>Тряпки для мытья полов, протирочные материалы — трикотажные</t>
        </is>
      </c>
      <c r="H41" s="8" t="n"/>
      <c r="I41" s="9" t="n">
        <v>0.61</v>
      </c>
      <c r="J41" s="10" t="n"/>
      <c r="K41" s="11" t="n"/>
      <c r="L41" s="12">
        <f>IF(AND(ISNUMBER(E41),ISNUMBER(K41)),E41*K41,0)</f>
        <v/>
      </c>
      <c r="M41" s="12">
        <f>IF(SUM($L$6:$L$70)=0,0,L41/SUM($L$6:$L$70)*Параметры!$B$9)</f>
        <v/>
      </c>
      <c r="N41" s="13">
        <f>(L41+M41)*Параметры!$B$4</f>
        <v/>
      </c>
      <c r="O41" s="13">
        <f>MAX(N41*N(H41),IF(AND(ISNUMBER(J41),ISNUMBER(E41)),E41*J41*N(I41)*Параметры!$B$5,0))</f>
        <v/>
      </c>
      <c r="P41" s="13">
        <f>(N41+O41)*Параметры!$B$6</f>
        <v/>
      </c>
      <c r="Q41" s="13">
        <f>O41+P41</f>
        <v/>
      </c>
      <c r="R41" s="13">
        <f>IF(OR(N(E41)=0,N41=0),"",(N41+O41+($D$78+$D$80+$D$81)*N41/$D$75)/E41)</f>
        <v/>
      </c>
      <c r="S41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41" s="14" t="inlineStr">
        <is>
          <t>высокая</t>
        </is>
      </c>
      <c r="U41" s="6" t="inlineStr">
        <is>
          <t>Специфическая/комбинированная ставка — для расчёта обязательно укажите вес нетто.</t>
        </is>
      </c>
    </row>
    <row r="42">
      <c r="A42" s="6" t="n">
        <v>30</v>
      </c>
      <c r="B42" s="6" t="inlineStr">
        <is>
          <t>Салфетки из микрофибры Vileda MicroFit — белый 40х40</t>
        </is>
      </c>
      <c r="C42" s="6" t="inlineStr">
        <is>
          <t>Салфетки (цвет. код.)</t>
        </is>
      </c>
      <c r="D42" s="6" t="inlineStr">
        <is>
          <t>шт</t>
        </is>
      </c>
      <c r="E42" s="6" t="n">
        <v>200</v>
      </c>
      <c r="F42" s="7" t="inlineStr">
        <is>
          <t>6307101000</t>
        </is>
      </c>
      <c r="G42" s="6" t="inlineStr">
        <is>
          <t>Тряпки для мытья полов, протирочные материалы — трикотажные</t>
        </is>
      </c>
      <c r="H42" s="8" t="n"/>
      <c r="I42" s="9" t="n">
        <v>0.61</v>
      </c>
      <c r="J42" s="10" t="n"/>
      <c r="K42" s="11" t="n"/>
      <c r="L42" s="12">
        <f>IF(AND(ISNUMBER(E42),ISNUMBER(K42)),E42*K42,0)</f>
        <v/>
      </c>
      <c r="M42" s="12">
        <f>IF(SUM($L$6:$L$70)=0,0,L42/SUM($L$6:$L$70)*Параметры!$B$9)</f>
        <v/>
      </c>
      <c r="N42" s="13">
        <f>(L42+M42)*Параметры!$B$4</f>
        <v/>
      </c>
      <c r="O42" s="13">
        <f>MAX(N42*N(H42),IF(AND(ISNUMBER(J42),ISNUMBER(E42)),E42*J42*N(I42)*Параметры!$B$5,0))</f>
        <v/>
      </c>
      <c r="P42" s="13">
        <f>(N42+O42)*Параметры!$B$6</f>
        <v/>
      </c>
      <c r="Q42" s="13">
        <f>O42+P42</f>
        <v/>
      </c>
      <c r="R42" s="13">
        <f>IF(OR(N(E42)=0,N42=0),"",(N42+O42+($D$78+$D$80+$D$81)*N42/$D$75)/E42)</f>
        <v/>
      </c>
      <c r="S42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42" s="14" t="inlineStr">
        <is>
          <t>высокая</t>
        </is>
      </c>
      <c r="U42" s="6" t="inlineStr">
        <is>
          <t>Специфическая/комбинированная ставка — для расчёта обязательно укажите вес нетто.</t>
        </is>
      </c>
    </row>
    <row r="43">
      <c r="A43" s="6" t="n">
        <v>31</v>
      </c>
      <c r="B43" s="6" t="inlineStr">
        <is>
          <t>Салфетки Vileda MicroTech Pro (для оргтехники/стёкол)</t>
        </is>
      </c>
      <c r="C43" s="6" t="inlineStr">
        <is>
          <t>Салфетки спец.</t>
        </is>
      </c>
      <c r="D43" s="6" t="inlineStr">
        <is>
          <t>шт</t>
        </is>
      </c>
      <c r="E43" s="6" t="n">
        <v>200</v>
      </c>
      <c r="F43" s="7" t="inlineStr">
        <is>
          <t>6307101000</t>
        </is>
      </c>
      <c r="G43" s="6" t="inlineStr">
        <is>
          <t>Тряпки для мытья полов, протирочные материалы — трикотажные</t>
        </is>
      </c>
      <c r="H43" s="8" t="n"/>
      <c r="I43" s="9" t="n">
        <v>0.61</v>
      </c>
      <c r="J43" s="10" t="n"/>
      <c r="K43" s="11" t="n"/>
      <c r="L43" s="12">
        <f>IF(AND(ISNUMBER(E43),ISNUMBER(K43)),E43*K43,0)</f>
        <v/>
      </c>
      <c r="M43" s="12">
        <f>IF(SUM($L$6:$L$70)=0,0,L43/SUM($L$6:$L$70)*Параметры!$B$9)</f>
        <v/>
      </c>
      <c r="N43" s="13">
        <f>(L43+M43)*Параметры!$B$4</f>
        <v/>
      </c>
      <c r="O43" s="13">
        <f>MAX(N43*N(H43),IF(AND(ISNUMBER(J43),ISNUMBER(E43)),E43*J43*N(I43)*Параметры!$B$5,0))</f>
        <v/>
      </c>
      <c r="P43" s="13">
        <f>(N43+O43)*Параметры!$B$6</f>
        <v/>
      </c>
      <c r="Q43" s="13">
        <f>O43+P43</f>
        <v/>
      </c>
      <c r="R43" s="13">
        <f>IF(OR(N(E43)=0,N43=0),"",(N43+O43+($D$78+$D$80+$D$81)*N43/$D$75)/E43)</f>
        <v/>
      </c>
      <c r="S43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43" s="14" t="inlineStr">
        <is>
          <t>средняя</t>
        </is>
      </c>
      <c r="U43" s="6" t="inlineStr">
        <is>
          <t>Специфическая/комбинированная ставка — для расчёта обязательно укажите вес нетто. Если нетканая — 6307 10 300 0.</t>
        </is>
      </c>
    </row>
    <row r="44">
      <c r="A44" s="6" t="n">
        <v>32</v>
      </c>
      <c r="B44" s="6" t="inlineStr">
        <is>
          <t>Салфетки вафельные (для полировки без разводов)</t>
        </is>
      </c>
      <c r="C44" s="6" t="inlineStr">
        <is>
          <t>Салфетки спец.</t>
        </is>
      </c>
      <c r="D44" s="6" t="inlineStr">
        <is>
          <t>шт</t>
        </is>
      </c>
      <c r="E44" s="6" t="n">
        <v>200</v>
      </c>
      <c r="F44" s="7" t="inlineStr">
        <is>
          <t>6307109000</t>
        </is>
      </c>
      <c r="G44" s="6" t="inlineStr">
        <is>
          <t>Тряпки для мытья полов, протирочные материалы — прочие (тканые и др.)</t>
        </is>
      </c>
      <c r="H44" s="8" t="n">
        <v>0.13</v>
      </c>
      <c r="I44" s="9" t="n">
        <v>0.46</v>
      </c>
      <c r="J44" s="10" t="n"/>
      <c r="K44" s="11" t="n"/>
      <c r="L44" s="12">
        <f>IF(AND(ISNUMBER(E44),ISNUMBER(K44)),E44*K44,0)</f>
        <v/>
      </c>
      <c r="M44" s="12">
        <f>IF(SUM($L$6:$L$70)=0,0,L44/SUM($L$6:$L$70)*Параметры!$B$9)</f>
        <v/>
      </c>
      <c r="N44" s="13">
        <f>(L44+M44)*Параметры!$B$4</f>
        <v/>
      </c>
      <c r="O44" s="13">
        <f>MAX(N44*N(H44),IF(AND(ISNUMBER(J44),ISNUMBER(E44)),E44*J44*N(I44)*Параметры!$B$5,0))</f>
        <v/>
      </c>
      <c r="P44" s="13">
        <f>(N44+O44)*Параметры!$B$6</f>
        <v/>
      </c>
      <c r="Q44" s="13">
        <f>O44+P44</f>
        <v/>
      </c>
      <c r="R44" s="13">
        <f>IF(OR(N(E44)=0,N44=0),"",(N44+O44+($D$78+$D$80+$D$81)*N44/$D$75)/E44)</f>
        <v/>
      </c>
      <c r="S44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44" s="14" t="inlineStr">
        <is>
          <t>высокая</t>
        </is>
      </c>
      <c r="U44" s="6" t="inlineStr">
        <is>
          <t>Специфическая/комбинированная ставка — для расчёта обязательно укажите вес нетто. Вафельное полотно — тканое.</t>
        </is>
      </c>
    </row>
    <row r="45">
      <c r="A45" s="5" t="inlineStr">
        <is>
          <t>Щётки и стёкла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6" t="n">
        <v>33</v>
      </c>
      <c r="B46" s="6" t="inlineStr">
        <is>
          <t>Щётка Vileda Professional (жёсткая/универсальная)</t>
        </is>
      </c>
      <c r="C46" s="6" t="inlineStr">
        <is>
          <t>Щётки</t>
        </is>
      </c>
      <c r="D46" s="6" t="inlineStr">
        <is>
          <t>шт</t>
        </is>
      </c>
      <c r="E46" s="6" t="n">
        <v>100</v>
      </c>
      <c r="F46" s="7" t="inlineStr">
        <is>
          <t>9603909100</t>
        </is>
      </c>
      <c r="G46" s="6" t="inlineStr">
        <is>
          <t>Щётки и швабры для дома/хозяйственные, щётки для уборки покрытий</t>
        </is>
      </c>
      <c r="H46" s="8" t="n">
        <v>0.1</v>
      </c>
      <c r="I46" s="9" t="n"/>
      <c r="J46" s="10" t="n"/>
      <c r="K46" s="11" t="n"/>
      <c r="L46" s="12">
        <f>IF(AND(ISNUMBER(E46),ISNUMBER(K46)),E46*K46,0)</f>
        <v/>
      </c>
      <c r="M46" s="12">
        <f>IF(SUM($L$6:$L$70)=0,0,L46/SUM($L$6:$L$70)*Параметры!$B$9)</f>
        <v/>
      </c>
      <c r="N46" s="13">
        <f>(L46+M46)*Параметры!$B$4</f>
        <v/>
      </c>
      <c r="O46" s="13">
        <f>MAX(N46*N(H46),IF(AND(ISNUMBER(J46),ISNUMBER(E46)),E46*J46*N(I46)*Параметры!$B$5,0))</f>
        <v/>
      </c>
      <c r="P46" s="13">
        <f>(N46+O46)*Параметры!$B$6</f>
        <v/>
      </c>
      <c r="Q46" s="13">
        <f>O46+P46</f>
        <v/>
      </c>
      <c r="R46" s="13">
        <f>IF(OR(N(E46)=0,N46=0),"",(N46+O46+($D$78+$D$80+$D$81)*N46/$D$75)/E46)</f>
        <v/>
      </c>
      <c r="S46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46" s="14" t="inlineStr">
        <is>
          <t>высокая</t>
        </is>
      </c>
      <c r="U46" s="6" t="inlineStr"/>
    </row>
    <row r="47">
      <c r="A47" s="6" t="n">
        <v>34</v>
      </c>
      <c r="B47" s="6" t="inlineStr">
        <is>
          <t>Щётка мягкая для деликатных поверхностей</t>
        </is>
      </c>
      <c r="C47" s="6" t="inlineStr">
        <is>
          <t>Щётки</t>
        </is>
      </c>
      <c r="D47" s="6" t="inlineStr">
        <is>
          <t>шт</t>
        </is>
      </c>
      <c r="E47" s="6" t="n">
        <v>50</v>
      </c>
      <c r="F47" s="7" t="inlineStr">
        <is>
          <t>9603909100</t>
        </is>
      </c>
      <c r="G47" s="6" t="inlineStr">
        <is>
          <t>Щётки и швабры для дома/хозяйственные, щётки для уборки покрытий</t>
        </is>
      </c>
      <c r="H47" s="8" t="n">
        <v>0.1</v>
      </c>
      <c r="I47" s="9" t="n"/>
      <c r="J47" s="10" t="n"/>
      <c r="K47" s="11" t="n"/>
      <c r="L47" s="12">
        <f>IF(AND(ISNUMBER(E47),ISNUMBER(K47)),E47*K47,0)</f>
        <v/>
      </c>
      <c r="M47" s="12">
        <f>IF(SUM($L$6:$L$70)=0,0,L47/SUM($L$6:$L$70)*Параметры!$B$9)</f>
        <v/>
      </c>
      <c r="N47" s="13">
        <f>(L47+M47)*Параметры!$B$4</f>
        <v/>
      </c>
      <c r="O47" s="13">
        <f>MAX(N47*N(H47),IF(AND(ISNUMBER(J47),ISNUMBER(E47)),E47*J47*N(I47)*Параметры!$B$5,0))</f>
        <v/>
      </c>
      <c r="P47" s="13">
        <f>(N47+O47)*Параметры!$B$6</f>
        <v/>
      </c>
      <c r="Q47" s="13">
        <f>O47+P47</f>
        <v/>
      </c>
      <c r="R47" s="13">
        <f>IF(OR(N(E47)=0,N47=0),"",(N47+O47+($D$78+$D$80+$D$81)*N47/$D$75)/E47)</f>
        <v/>
      </c>
      <c r="S47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47" s="14" t="inlineStr">
        <is>
          <t>высокая</t>
        </is>
      </c>
      <c r="U47" s="6" t="inlineStr"/>
    </row>
    <row r="48">
      <c r="A48" s="6" t="n">
        <v>35</v>
      </c>
      <c r="B48" s="6" t="inlineStr">
        <is>
          <t>Щётка угловая (для труднодоступных мест)</t>
        </is>
      </c>
      <c r="C48" s="6" t="inlineStr">
        <is>
          <t>Щётки</t>
        </is>
      </c>
      <c r="D48" s="6" t="inlineStr">
        <is>
          <t>шт</t>
        </is>
      </c>
      <c r="E48" s="6" t="n">
        <v>100</v>
      </c>
      <c r="F48" s="7" t="inlineStr">
        <is>
          <t>9603909100</t>
        </is>
      </c>
      <c r="G48" s="6" t="inlineStr">
        <is>
          <t>Щётки и швабры для дома/хозяйственные, щётки для уборки покрытий</t>
        </is>
      </c>
      <c r="H48" s="8" t="n">
        <v>0.1</v>
      </c>
      <c r="I48" s="9" t="n"/>
      <c r="J48" s="10" t="n"/>
      <c r="K48" s="11" t="n"/>
      <c r="L48" s="12">
        <f>IF(AND(ISNUMBER(E48),ISNUMBER(K48)),E48*K48,0)</f>
        <v/>
      </c>
      <c r="M48" s="12">
        <f>IF(SUM($L$6:$L$70)=0,0,L48/SUM($L$6:$L$70)*Параметры!$B$9)</f>
        <v/>
      </c>
      <c r="N48" s="13">
        <f>(L48+M48)*Параметры!$B$4</f>
        <v/>
      </c>
      <c r="O48" s="13">
        <f>MAX(N48*N(H48),IF(AND(ISNUMBER(J48),ISNUMBER(E48)),E48*J48*N(I48)*Параметры!$B$5,0))</f>
        <v/>
      </c>
      <c r="P48" s="13">
        <f>(N48+O48)*Параметры!$B$6</f>
        <v/>
      </c>
      <c r="Q48" s="13">
        <f>O48+P48</f>
        <v/>
      </c>
      <c r="R48" s="13">
        <f>IF(OR(N(E48)=0,N48=0),"",(N48+O48+($D$78+$D$80+$D$81)*N48/$D$75)/E48)</f>
        <v/>
      </c>
      <c r="S48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48" s="14" t="inlineStr">
        <is>
          <t>высокая</t>
        </is>
      </c>
      <c r="U48" s="6" t="inlineStr"/>
    </row>
    <row r="49">
      <c r="A49" s="6" t="n">
        <v>36</v>
      </c>
      <c r="B49" s="6" t="inlineStr">
        <is>
          <t>Скребок для стёкол Vileda UltraSpeed Glass</t>
        </is>
      </c>
      <c r="C49" s="6" t="inlineStr">
        <is>
          <t>Стёкла</t>
        </is>
      </c>
      <c r="D49" s="6" t="inlineStr">
        <is>
          <t>шт</t>
        </is>
      </c>
      <c r="E49" s="6" t="n">
        <v>50</v>
      </c>
      <c r="F49" s="7" t="inlineStr">
        <is>
          <t>8205598099</t>
        </is>
      </c>
      <c r="G49" s="6" t="inlineStr">
        <is>
          <t>Инструменты ручные прочие</t>
        </is>
      </c>
      <c r="H49" s="8" t="n">
        <v>0.03</v>
      </c>
      <c r="I49" s="9" t="n"/>
      <c r="J49" s="10" t="n"/>
      <c r="K49" s="11" t="n"/>
      <c r="L49" s="12">
        <f>IF(AND(ISNUMBER(E49),ISNUMBER(K49)),E49*K49,0)</f>
        <v/>
      </c>
      <c r="M49" s="12">
        <f>IF(SUM($L$6:$L$70)=0,0,L49/SUM($L$6:$L$70)*Параметры!$B$9)</f>
        <v/>
      </c>
      <c r="N49" s="13">
        <f>(L49+M49)*Параметры!$B$4</f>
        <v/>
      </c>
      <c r="O49" s="13">
        <f>MAX(N49*N(H49),IF(AND(ISNUMBER(J49),ISNUMBER(E49)),E49*J49*N(I49)*Параметры!$B$5,0))</f>
        <v/>
      </c>
      <c r="P49" s="13">
        <f>(N49+O49)*Параметры!$B$6</f>
        <v/>
      </c>
      <c r="Q49" s="13">
        <f>O49+P49</f>
        <v/>
      </c>
      <c r="R49" s="13">
        <f>IF(OR(N(E49)=0,N49=0),"",(N49+O49+($D$78+$D$80+$D$81)*N49/$D$75)/E49)</f>
        <v/>
      </c>
      <c r="S49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49" s="14" t="inlineStr">
        <is>
          <t>средняя</t>
        </is>
      </c>
      <c r="U49" s="6" t="inlineStr">
        <is>
          <t>Если это сгон с резиновым лезвием, а не скребок, — 9603 90 990 0 (12,5%).</t>
        </is>
      </c>
    </row>
    <row r="50">
      <c r="A50" s="6" t="n">
        <v>37</v>
      </c>
      <c r="B50" s="6" t="inlineStr">
        <is>
          <t>Оконная система Vileda Windomatic (моп + сгон)</t>
        </is>
      </c>
      <c r="C50" s="6" t="inlineStr">
        <is>
          <t>Мытьё окон</t>
        </is>
      </c>
      <c r="D50" s="6" t="inlineStr">
        <is>
          <t>шт</t>
        </is>
      </c>
      <c r="E50" s="6" t="n">
        <v>25</v>
      </c>
      <c r="F50" s="7" t="inlineStr">
        <is>
          <t>8509800000</t>
        </is>
      </c>
      <c r="G50" s="6" t="inlineStr">
        <is>
          <t>Электромеханические бытовые приборы со встроенным двигателем, прочие</t>
        </is>
      </c>
      <c r="H50" s="8" t="n">
        <v>0.05</v>
      </c>
      <c r="I50" s="9" t="n"/>
      <c r="J50" s="10" t="n"/>
      <c r="K50" s="11" t="n"/>
      <c r="L50" s="12">
        <f>IF(AND(ISNUMBER(E50),ISNUMBER(K50)),E50*K50,0)</f>
        <v/>
      </c>
      <c r="M50" s="12">
        <f>IF(SUM($L$6:$L$70)=0,0,L50/SUM($L$6:$L$70)*Параметры!$B$9)</f>
        <v/>
      </c>
      <c r="N50" s="13">
        <f>(L50+M50)*Параметры!$B$4</f>
        <v/>
      </c>
      <c r="O50" s="13">
        <f>MAX(N50*N(H50),IF(AND(ISNUMBER(J50),ISNUMBER(E50)),E50*J50*N(I50)*Параметры!$B$5,0))</f>
        <v/>
      </c>
      <c r="P50" s="13">
        <f>(N50+O50)*Параметры!$B$6</f>
        <v/>
      </c>
      <c r="Q50" s="13">
        <f>O50+P50</f>
        <v/>
      </c>
      <c r="R50" s="13">
        <f>IF(OR(N(E50)=0,N50=0),"",(N50+O50+($D$78+$D$80+$D$81)*N50/$D$75)/E50)</f>
        <v/>
      </c>
      <c r="S50" s="6" t="inlineStr">
        <is>
          <t>ТР ТС 004 + ТР ТС 020 — сертификат/декларация соответствия; ТР ЕАЭС 037 (RoHS) — декларация. Li-ion аккумулятор — опасный груз кл. 9 при перевозке (UN3481).</t>
        </is>
      </c>
      <c r="T50" s="14" t="inlineStr">
        <is>
          <t>средняя</t>
        </is>
      </c>
      <c r="U50" s="6" t="inlineStr">
        <is>
          <t>Windomatic — аккумуляторный стеклоочиститель-пылесос. Если в поставке только моп + сгон без электроприбора — 9603 90 990 0.</t>
        </is>
      </c>
    </row>
    <row r="51">
      <c r="A51" s="5" t="inlineStr">
        <is>
          <t>Для склада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6" t="n">
        <v>38</v>
      </c>
      <c r="B52" s="6" t="inlineStr">
        <is>
          <t>Моп широкий промышленный (увеличенная площадь захвата)</t>
        </is>
      </c>
      <c r="C52" s="6" t="inlineStr">
        <is>
          <t>Склад — мопы</t>
        </is>
      </c>
      <c r="D52" s="6" t="inlineStr">
        <is>
          <t>шт</t>
        </is>
      </c>
      <c r="E52" s="6" t="n">
        <v>20</v>
      </c>
      <c r="F52" s="7" t="inlineStr">
        <is>
          <t>6307101000</t>
        </is>
      </c>
      <c r="G52" s="6" t="inlineStr">
        <is>
          <t>Тряпки для мытья полов, протирочные материалы — трикотажные</t>
        </is>
      </c>
      <c r="H52" s="8" t="n"/>
      <c r="I52" s="9" t="n">
        <v>0.61</v>
      </c>
      <c r="J52" s="10" t="n"/>
      <c r="K52" s="11" t="n"/>
      <c r="L52" s="12">
        <f>IF(AND(ISNUMBER(E52),ISNUMBER(K52)),E52*K52,0)</f>
        <v/>
      </c>
      <c r="M52" s="12">
        <f>IF(SUM($L$6:$L$70)=0,0,L52/SUM($L$6:$L$70)*Параметры!$B$9)</f>
        <v/>
      </c>
      <c r="N52" s="13">
        <f>(L52+M52)*Параметры!$B$4</f>
        <v/>
      </c>
      <c r="O52" s="13">
        <f>MAX(N52*N(H52),IF(AND(ISNUMBER(J52),ISNUMBER(E52)),E52*J52*N(I52)*Параметры!$B$5,0))</f>
        <v/>
      </c>
      <c r="P52" s="13">
        <f>(N52+O52)*Параметры!$B$6</f>
        <v/>
      </c>
      <c r="Q52" s="13">
        <f>O52+P52</f>
        <v/>
      </c>
      <c r="R52" s="13">
        <f>IF(OR(N(E52)=0,N52=0),"",(N52+O52+($D$78+$D$80+$D$81)*N52/$D$75)/E52)</f>
        <v/>
      </c>
      <c r="S52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52" s="14" t="inlineStr">
        <is>
          <t>средняя</t>
        </is>
      </c>
      <c r="U52" s="6" t="inlineStr">
        <is>
          <t>Специфическая/комбинированная ставка — для расчёта обязательно укажите вес нетто. Если поставляется с рамкой/держателем как швабра в сборе — 9603 90 990 0.</t>
        </is>
      </c>
    </row>
    <row r="53">
      <c r="A53" s="6" t="n">
        <v>39</v>
      </c>
      <c r="B53" s="6" t="inlineStr">
        <is>
          <t>Сгон для воды широкий промышленный (от 60 см)</t>
        </is>
      </c>
      <c r="C53" s="6" t="inlineStr">
        <is>
          <t>Склад — сгоны</t>
        </is>
      </c>
      <c r="D53" s="6" t="inlineStr">
        <is>
          <t>шт</t>
        </is>
      </c>
      <c r="E53" s="6" t="n">
        <v>20</v>
      </c>
      <c r="F53" s="7" t="inlineStr">
        <is>
          <t>9603909900</t>
        </is>
      </c>
      <c r="G53" s="6" t="inlineStr">
        <is>
          <t>Прочие щётки, швабры (мопы); ракли резиновые (сгоны)</t>
        </is>
      </c>
      <c r="H53" s="8" t="n">
        <v>0.125</v>
      </c>
      <c r="I53" s="9" t="n"/>
      <c r="J53" s="10" t="n"/>
      <c r="K53" s="11" t="n"/>
      <c r="L53" s="12">
        <f>IF(AND(ISNUMBER(E53),ISNUMBER(K53)),E53*K53,0)</f>
        <v/>
      </c>
      <c r="M53" s="12">
        <f>IF(SUM($L$6:$L$70)=0,0,L53/SUM($L$6:$L$70)*Параметры!$B$9)</f>
        <v/>
      </c>
      <c r="N53" s="13">
        <f>(L53+M53)*Параметры!$B$4</f>
        <v/>
      </c>
      <c r="O53" s="13">
        <f>MAX(N53*N(H53),IF(AND(ISNUMBER(J53),ISNUMBER(E53)),E53*J53*N(I53)*Параметры!$B$5,0))</f>
        <v/>
      </c>
      <c r="P53" s="13">
        <f>(N53+O53)*Параметры!$B$6</f>
        <v/>
      </c>
      <c r="Q53" s="13">
        <f>O53+P53</f>
        <v/>
      </c>
      <c r="R53" s="13">
        <f>IF(OR(N(E53)=0,N53=0),"",(N53+O53+($D$78+$D$80+$D$81)*N53/$D$75)/E53)</f>
        <v/>
      </c>
      <c r="S53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53" s="14" t="inlineStr">
        <is>
          <t>высокая</t>
        </is>
      </c>
      <c r="U53" s="6" t="inlineStr"/>
    </row>
    <row r="54">
      <c r="A54" s="6" t="n">
        <v>40</v>
      </c>
      <c r="B54" s="6" t="inlineStr">
        <is>
          <t>Абсорбирующие салфетки/маты для разливов (масла, ГСМ)</t>
        </is>
      </c>
      <c r="C54" s="6" t="inlineStr">
        <is>
          <t>Склад</t>
        </is>
      </c>
      <c r="D54" s="6" t="inlineStr">
        <is>
          <t>уп</t>
        </is>
      </c>
      <c r="E54" s="6" t="n">
        <v>10</v>
      </c>
      <c r="F54" s="7" t="inlineStr">
        <is>
          <t>5603149000</t>
        </is>
      </c>
      <c r="G54" s="6" t="inlineStr">
        <is>
          <t>Нетканые материалы из химических нитей, &gt;150 г/м², прочие</t>
        </is>
      </c>
      <c r="H54" s="8" t="n">
        <v>0.05</v>
      </c>
      <c r="I54" s="9" t="n"/>
      <c r="J54" s="10" t="n"/>
      <c r="K54" s="11" t="n"/>
      <c r="L54" s="12">
        <f>IF(AND(ISNUMBER(E54),ISNUMBER(K54)),E54*K54,0)</f>
        <v/>
      </c>
      <c r="M54" s="12">
        <f>IF(SUM($L$6:$L$70)=0,0,L54/SUM($L$6:$L$70)*Параметры!$B$9)</f>
        <v/>
      </c>
      <c r="N54" s="13">
        <f>(L54+M54)*Параметры!$B$4</f>
        <v/>
      </c>
      <c r="O54" s="13">
        <f>MAX(N54*N(H54),IF(AND(ISNUMBER(J54),ISNUMBER(E54)),E54*J54*N(I54)*Параметры!$B$5,0))</f>
        <v/>
      </c>
      <c r="P54" s="13">
        <f>(N54+O54)*Параметры!$B$6</f>
        <v/>
      </c>
      <c r="Q54" s="13">
        <f>O54+P54</f>
        <v/>
      </c>
      <c r="R54" s="13">
        <f>IF(OR(N(E54)=0,N54=0),"",(N54+O54+($D$78+$D$80+$D$81)*N54/$D$75)/E54)</f>
        <v/>
      </c>
      <c r="S54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54" s="14" t="inlineStr">
        <is>
          <t>средняя</t>
        </is>
      </c>
      <c r="U54" s="6" t="inlineStr">
        <is>
          <t>Плотность 70–150 г/м² — 5603 13 900 0. Нужна спецификация (г/м², материал).</t>
        </is>
      </c>
    </row>
    <row r="55">
      <c r="A55" s="6" t="n">
        <v>41</v>
      </c>
      <c r="B55" s="6" t="inlineStr">
        <is>
          <t>Магнитная щётка-подметалка (сбор металлической стружки)</t>
        </is>
      </c>
      <c r="C55" s="6" t="inlineStr">
        <is>
          <t>Склад</t>
        </is>
      </c>
      <c r="D55" s="6" t="inlineStr">
        <is>
          <t>шт</t>
        </is>
      </c>
      <c r="E55" s="6" t="n">
        <v>10</v>
      </c>
      <c r="F55" s="7" t="inlineStr">
        <is>
          <t>8505199000</t>
        </is>
      </c>
      <c r="G55" s="6" t="inlineStr">
        <is>
          <t>Постоянные магниты и изделия из них, прочие</t>
        </is>
      </c>
      <c r="H55" s="8" t="n">
        <v>0.15</v>
      </c>
      <c r="I55" s="9" t="n"/>
      <c r="J55" s="10" t="n"/>
      <c r="K55" s="11" t="n"/>
      <c r="L55" s="12">
        <f>IF(AND(ISNUMBER(E55),ISNUMBER(K55)),E55*K55,0)</f>
        <v/>
      </c>
      <c r="M55" s="12">
        <f>IF(SUM($L$6:$L$70)=0,0,L55/SUM($L$6:$L$70)*Параметры!$B$9)</f>
        <v/>
      </c>
      <c r="N55" s="13">
        <f>(L55+M55)*Параметры!$B$4</f>
        <v/>
      </c>
      <c r="O55" s="13">
        <f>MAX(N55*N(H55),IF(AND(ISNUMBER(J55),ISNUMBER(E55)),E55*J55*N(I55)*Параметры!$B$5,0))</f>
        <v/>
      </c>
      <c r="P55" s="13">
        <f>(N55+O55)*Параметры!$B$6</f>
        <v/>
      </c>
      <c r="Q55" s="13">
        <f>O55+P55</f>
        <v/>
      </c>
      <c r="R55" s="13">
        <f>IF(OR(N(E55)=0,N55=0),"",(N55+O55+($D$78+$D$80+$D$81)*N55/$D$75)/E55)</f>
        <v/>
      </c>
      <c r="S55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55" s="15" t="inlineStr">
        <is>
          <t>низкая</t>
        </is>
      </c>
      <c r="U55" s="6" t="inlineStr">
        <is>
          <t>Спорная классификация (альтернатива — 8205 59, 3%). Рекомендуем предварительное решение ФТС.</t>
        </is>
      </c>
    </row>
    <row r="56">
      <c r="A56" s="5" t="inlineStr">
        <is>
          <t>Расходники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6" t="n">
        <v>48</v>
      </c>
      <c r="B57" s="6" t="inlineStr">
        <is>
          <t>Таблички информационные «Мокрый пол»</t>
        </is>
      </c>
      <c r="C57" s="6" t="inlineStr">
        <is>
          <t>Расходники</t>
        </is>
      </c>
      <c r="D57" s="6" t="inlineStr">
        <is>
          <t>шт</t>
        </is>
      </c>
      <c r="E57" s="6" t="n">
        <v>30</v>
      </c>
      <c r="F57" s="7" t="inlineStr">
        <is>
          <t>3926909709</t>
        </is>
      </c>
      <c r="G57" s="6" t="inlineStr">
        <is>
          <t>Изделия из пластмасс прочие</t>
        </is>
      </c>
      <c r="H57" s="8" t="n">
        <v>0.065</v>
      </c>
      <c r="I57" s="9" t="n"/>
      <c r="J57" s="10" t="n"/>
      <c r="K57" s="11" t="n"/>
      <c r="L57" s="12">
        <f>IF(AND(ISNUMBER(E57),ISNUMBER(K57)),E57*K57,0)</f>
        <v/>
      </c>
      <c r="M57" s="12">
        <f>IF(SUM($L$6:$L$70)=0,0,L57/SUM($L$6:$L$70)*Параметры!$B$9)</f>
        <v/>
      </c>
      <c r="N57" s="13">
        <f>(L57+M57)*Параметры!$B$4</f>
        <v/>
      </c>
      <c r="O57" s="13">
        <f>MAX(N57*N(H57),IF(AND(ISNUMBER(J57),ISNUMBER(E57)),E57*J57*N(I57)*Параметры!$B$5,0))</f>
        <v/>
      </c>
      <c r="P57" s="13">
        <f>(N57+O57)*Параметры!$B$6</f>
        <v/>
      </c>
      <c r="Q57" s="13">
        <f>O57+P57</f>
        <v/>
      </c>
      <c r="R57" s="13">
        <f>IF(OR(N(E57)=0,N57=0),"",(N57+O57+($D$78+$D$80+$D$81)*N57/$D$75)/E57)</f>
        <v/>
      </c>
      <c r="S57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57" s="14" t="inlineStr">
        <is>
          <t>высокая</t>
        </is>
      </c>
      <c r="U57" s="6" t="inlineStr"/>
    </row>
    <row r="58">
      <c r="A58" s="5" t="inlineStr">
        <is>
          <t>Салфетки из микрофибры (цветовое кодирование)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6" t="n">
        <v>26</v>
      </c>
      <c r="B59" s="6" t="inlineStr">
        <is>
          <t>Салфетки из микрофибры Vileda MicroFit — красный 70х80</t>
        </is>
      </c>
      <c r="C59" s="6" t="inlineStr">
        <is>
          <t>Салфетки (цвет. код.)</t>
        </is>
      </c>
      <c r="D59" s="6" t="inlineStr">
        <is>
          <t>шт</t>
        </is>
      </c>
      <c r="E59" s="6" t="n">
        <v>100</v>
      </c>
      <c r="F59" s="7" t="inlineStr">
        <is>
          <t>6307101000</t>
        </is>
      </c>
      <c r="G59" s="6" t="inlineStr">
        <is>
          <t>Тряпки для мытья полов, протирочные материалы — трикотажные</t>
        </is>
      </c>
      <c r="H59" s="8" t="n"/>
      <c r="I59" s="9" t="n">
        <v>0.61</v>
      </c>
      <c r="J59" s="10" t="n"/>
      <c r="K59" s="11" t="n"/>
      <c r="L59" s="12">
        <f>IF(AND(ISNUMBER(E59),ISNUMBER(K59)),E59*K59,0)</f>
        <v/>
      </c>
      <c r="M59" s="12">
        <f>IF(SUM($L$6:$L$70)=0,0,L59/SUM($L$6:$L$70)*Параметры!$B$9)</f>
        <v/>
      </c>
      <c r="N59" s="13">
        <f>(L59+M59)*Параметры!$B$4</f>
        <v/>
      </c>
      <c r="O59" s="13">
        <f>MAX(N59*N(H59),IF(AND(ISNUMBER(J59),ISNUMBER(E59)),E59*J59*N(I59)*Параметры!$B$5,0))</f>
        <v/>
      </c>
      <c r="P59" s="13">
        <f>(N59+O59)*Параметры!$B$6</f>
        <v/>
      </c>
      <c r="Q59" s="13">
        <f>O59+P59</f>
        <v/>
      </c>
      <c r="R59" s="13">
        <f>IF(OR(N(E59)=0,N59=0),"",(N59+O59+($D$78+$D$80+$D$81)*N59/$D$75)/E59)</f>
        <v/>
      </c>
      <c r="S59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59" s="14" t="inlineStr">
        <is>
          <t>высокая</t>
        </is>
      </c>
      <c r="U59" s="6" t="inlineStr">
        <is>
          <t>Специфическая/комбинированная ставка — для расчёта обязательно укажите вес нетто.</t>
        </is>
      </c>
    </row>
    <row r="60">
      <c r="A60" s="6" t="n">
        <v>27</v>
      </c>
      <c r="B60" s="6" t="inlineStr">
        <is>
          <t>Салфетки из микрофибры Vileda MicroFit — синий 70х80</t>
        </is>
      </c>
      <c r="C60" s="6" t="inlineStr">
        <is>
          <t>Салфетки (цвет. код.)</t>
        </is>
      </c>
      <c r="D60" s="6" t="inlineStr">
        <is>
          <t>шт</t>
        </is>
      </c>
      <c r="E60" s="6" t="n">
        <v>100</v>
      </c>
      <c r="F60" s="7" t="inlineStr">
        <is>
          <t>6307101000</t>
        </is>
      </c>
      <c r="G60" s="6" t="inlineStr">
        <is>
          <t>Тряпки для мытья полов, протирочные материалы — трикотажные</t>
        </is>
      </c>
      <c r="H60" s="8" t="n"/>
      <c r="I60" s="9" t="n">
        <v>0.61</v>
      </c>
      <c r="J60" s="10" t="n"/>
      <c r="K60" s="11" t="n"/>
      <c r="L60" s="12">
        <f>IF(AND(ISNUMBER(E60),ISNUMBER(K60)),E60*K60,0)</f>
        <v/>
      </c>
      <c r="M60" s="12">
        <f>IF(SUM($L$6:$L$70)=0,0,L60/SUM($L$6:$L$70)*Параметры!$B$9)</f>
        <v/>
      </c>
      <c r="N60" s="13">
        <f>(L60+M60)*Параметры!$B$4</f>
        <v/>
      </c>
      <c r="O60" s="13">
        <f>MAX(N60*N(H60),IF(AND(ISNUMBER(J60),ISNUMBER(E60)),E60*J60*N(I60)*Параметры!$B$5,0))</f>
        <v/>
      </c>
      <c r="P60" s="13">
        <f>(N60+O60)*Параметры!$B$6</f>
        <v/>
      </c>
      <c r="Q60" s="13">
        <f>O60+P60</f>
        <v/>
      </c>
      <c r="R60" s="13">
        <f>IF(OR(N(E60)=0,N60=0),"",(N60+O60+($D$78+$D$80+$D$81)*N60/$D$75)/E60)</f>
        <v/>
      </c>
      <c r="S60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60" s="14" t="inlineStr">
        <is>
          <t>высокая</t>
        </is>
      </c>
      <c r="U60" s="6" t="inlineStr">
        <is>
          <t>Специфическая/комбинированная ставка — для расчёта обязательно укажите вес нетто.</t>
        </is>
      </c>
    </row>
    <row r="61">
      <c r="A61" s="6" t="n">
        <v>28</v>
      </c>
      <c r="B61" s="6" t="inlineStr">
        <is>
          <t>Салфетки из микрофибры Vileda MicroFit — жёлтый 70х80</t>
        </is>
      </c>
      <c r="C61" s="6" t="inlineStr">
        <is>
          <t>Салфетки (цвет. код.)</t>
        </is>
      </c>
      <c r="D61" s="6" t="inlineStr">
        <is>
          <t>шт</t>
        </is>
      </c>
      <c r="E61" s="6" t="n">
        <v>100</v>
      </c>
      <c r="F61" s="7" t="inlineStr">
        <is>
          <t>6307101000</t>
        </is>
      </c>
      <c r="G61" s="6" t="inlineStr">
        <is>
          <t>Тряпки для мытья полов, протирочные материалы — трикотажные</t>
        </is>
      </c>
      <c r="H61" s="8" t="n"/>
      <c r="I61" s="9" t="n">
        <v>0.61</v>
      </c>
      <c r="J61" s="10" t="n"/>
      <c r="K61" s="11" t="n"/>
      <c r="L61" s="12">
        <f>IF(AND(ISNUMBER(E61),ISNUMBER(K61)),E61*K61,0)</f>
        <v/>
      </c>
      <c r="M61" s="12">
        <f>IF(SUM($L$6:$L$70)=0,0,L61/SUM($L$6:$L$70)*Параметры!$B$9)</f>
        <v/>
      </c>
      <c r="N61" s="13">
        <f>(L61+M61)*Параметры!$B$4</f>
        <v/>
      </c>
      <c r="O61" s="13">
        <f>MAX(N61*N(H61),IF(AND(ISNUMBER(J61),ISNUMBER(E61)),E61*J61*N(I61)*Параметры!$B$5,0))</f>
        <v/>
      </c>
      <c r="P61" s="13">
        <f>(N61+O61)*Параметры!$B$6</f>
        <v/>
      </c>
      <c r="Q61" s="13">
        <f>O61+P61</f>
        <v/>
      </c>
      <c r="R61" s="13">
        <f>IF(OR(N(E61)=0,N61=0),"",(N61+O61+($D$78+$D$80+$D$81)*N61/$D$75)/E61)</f>
        <v/>
      </c>
      <c r="S61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61" s="14" t="inlineStr">
        <is>
          <t>высокая</t>
        </is>
      </c>
      <c r="U61" s="6" t="inlineStr">
        <is>
          <t>Специфическая/комбинированная ставка — для расчёта обязательно укажите вес нетто.</t>
        </is>
      </c>
    </row>
    <row r="62">
      <c r="A62" s="6" t="n">
        <v>29</v>
      </c>
      <c r="B62" s="6" t="inlineStr">
        <is>
          <t>Салфетки из микрофибры Vileda MicroFit — зелёный 70х80</t>
        </is>
      </c>
      <c r="C62" s="6" t="inlineStr">
        <is>
          <t>Салфетки (цвет. код.)</t>
        </is>
      </c>
      <c r="D62" s="6" t="inlineStr">
        <is>
          <t>шт</t>
        </is>
      </c>
      <c r="E62" s="6" t="n">
        <v>100</v>
      </c>
      <c r="F62" s="7" t="inlineStr">
        <is>
          <t>6307101000</t>
        </is>
      </c>
      <c r="G62" s="6" t="inlineStr">
        <is>
          <t>Тряпки для мытья полов, протирочные материалы — трикотажные</t>
        </is>
      </c>
      <c r="H62" s="8" t="n"/>
      <c r="I62" s="9" t="n">
        <v>0.61</v>
      </c>
      <c r="J62" s="10" t="n"/>
      <c r="K62" s="11" t="n"/>
      <c r="L62" s="12">
        <f>IF(AND(ISNUMBER(E62),ISNUMBER(K62)),E62*K62,0)</f>
        <v/>
      </c>
      <c r="M62" s="12">
        <f>IF(SUM($L$6:$L$70)=0,0,L62/SUM($L$6:$L$70)*Параметры!$B$9)</f>
        <v/>
      </c>
      <c r="N62" s="13">
        <f>(L62+M62)*Параметры!$B$4</f>
        <v/>
      </c>
      <c r="O62" s="13">
        <f>MAX(N62*N(H62),IF(AND(ISNUMBER(J62),ISNUMBER(E62)),E62*J62*N(I62)*Параметры!$B$5,0))</f>
        <v/>
      </c>
      <c r="P62" s="13">
        <f>(N62+O62)*Параметры!$B$6</f>
        <v/>
      </c>
      <c r="Q62" s="13">
        <f>O62+P62</f>
        <v/>
      </c>
      <c r="R62" s="13">
        <f>IF(OR(N(E62)=0,N62=0),"",(N62+O62+($D$78+$D$80+$D$81)*N62/$D$75)/E62)</f>
        <v/>
      </c>
      <c r="S62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62" s="14" t="inlineStr">
        <is>
          <t>высокая</t>
        </is>
      </c>
      <c r="U62" s="6" t="inlineStr">
        <is>
          <t>Специфическая/комбинированная ставка — для расчёта обязательно укажите вес нетто.</t>
        </is>
      </c>
    </row>
    <row r="63">
      <c r="A63" s="5" t="inlineStr">
        <is>
          <t>Для медицинских помещений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6" t="n">
        <v>42</v>
      </c>
      <c r="B64" s="6" t="inlineStr">
        <is>
          <t>Одноразовые салфетки/мопы (снижение риска перекрёстного заражения)</t>
        </is>
      </c>
      <c r="C64" s="6" t="inlineStr">
        <is>
          <t>Медицина</t>
        </is>
      </c>
      <c r="D64" s="6" t="inlineStr">
        <is>
          <t>уп</t>
        </is>
      </c>
      <c r="E64" s="6" t="n">
        <v>5</v>
      </c>
      <c r="F64" s="7" t="inlineStr">
        <is>
          <t>6307103000</t>
        </is>
      </c>
      <c r="G64" s="6" t="inlineStr">
        <is>
          <t>Тряпки для мытья полов, протирочные материалы — нетканые</t>
        </is>
      </c>
      <c r="H64" s="8" t="n">
        <v>0.13</v>
      </c>
      <c r="I64" s="9" t="n">
        <v>0.46</v>
      </c>
      <c r="J64" s="10" t="n"/>
      <c r="K64" s="11" t="n"/>
      <c r="L64" s="12">
        <f>IF(AND(ISNUMBER(E64),ISNUMBER(K64)),E64*K64,0)</f>
        <v/>
      </c>
      <c r="M64" s="12">
        <f>IF(SUM($L$6:$L$70)=0,0,L64/SUM($L$6:$L$70)*Параметры!$B$9)</f>
        <v/>
      </c>
      <c r="N64" s="13">
        <f>(L64+M64)*Параметры!$B$4</f>
        <v/>
      </c>
      <c r="O64" s="13">
        <f>MAX(N64*N(H64),IF(AND(ISNUMBER(J64),ISNUMBER(E64)),E64*J64*N(I64)*Параметры!$B$5,0))</f>
        <v/>
      </c>
      <c r="P64" s="13">
        <f>(N64+O64)*Параметры!$B$6</f>
        <v/>
      </c>
      <c r="Q64" s="13">
        <f>O64+P64</f>
        <v/>
      </c>
      <c r="R64" s="13">
        <f>IF(OR(N(E64)=0,N64=0),"",(N64+O64+($D$78+$D$80+$D$81)*N64/$D$75)/E64)</f>
        <v/>
      </c>
      <c r="S64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64" s="14" t="inlineStr">
        <is>
          <t>высокая</t>
        </is>
      </c>
      <c r="U64" s="6" t="inlineStr">
        <is>
          <t>Специфическая/комбинированная ставка — для расчёта обязательно укажите вес нетто. Не медизделия (РУ Росздравнадзора не нужно), если производитель не заявляет их как медицинские изделия.</t>
        </is>
      </c>
    </row>
    <row r="65">
      <c r="A65" s="6" t="n">
        <v>43</v>
      </c>
      <c r="B65" s="6" t="inlineStr">
        <is>
          <t>Предварительно пропитанные салфетки (prewetted system)</t>
        </is>
      </c>
      <c r="C65" s="6" t="inlineStr">
        <is>
          <t>Медицина</t>
        </is>
      </c>
      <c r="D65" s="6" t="inlineStr">
        <is>
          <t>уп</t>
        </is>
      </c>
      <c r="E65" s="6" t="n">
        <v>5</v>
      </c>
      <c r="F65" s="7" t="inlineStr">
        <is>
          <t>6307101000</t>
        </is>
      </c>
      <c r="G65" s="6" t="inlineStr">
        <is>
          <t>Тряпки для мытья полов, протирочные материалы — трикотажные</t>
        </is>
      </c>
      <c r="H65" s="8" t="n"/>
      <c r="I65" s="9" t="n">
        <v>0.61</v>
      </c>
      <c r="J65" s="10" t="n"/>
      <c r="K65" s="11" t="n"/>
      <c r="L65" s="12">
        <f>IF(AND(ISNUMBER(E65),ISNUMBER(K65)),E65*K65,0)</f>
        <v/>
      </c>
      <c r="M65" s="12">
        <f>IF(SUM($L$6:$L$70)=0,0,L65/SUM($L$6:$L$70)*Параметры!$B$9)</f>
        <v/>
      </c>
      <c r="N65" s="13">
        <f>(L65+M65)*Параметры!$B$4</f>
        <v/>
      </c>
      <c r="O65" s="13">
        <f>MAX(N65*N(H65),IF(AND(ISNUMBER(J65),ISNUMBER(E65)),E65*J65*N(I65)*Параметры!$B$5,0))</f>
        <v/>
      </c>
      <c r="P65" s="13">
        <f>(N65+O65)*Параметры!$B$6</f>
        <v/>
      </c>
      <c r="Q65" s="13">
        <f>O65+P65</f>
        <v/>
      </c>
      <c r="R65" s="13">
        <f>IF(OR(N(E65)=0,N65=0),"",(N65+O65+($D$78+$D$80+$D$81)*N65/$D$75)/E65)</f>
        <v/>
      </c>
      <c r="S65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 Если салфетки пропитаны дезсредством — это уже код 3808 94 и нужна госрегистрация (СГР) дезсредства.</t>
        </is>
      </c>
      <c r="T65" s="14" t="inlineStr">
        <is>
          <t>средняя</t>
        </is>
      </c>
      <c r="U65" s="6" t="inlineStr">
        <is>
          <t>Специфическая/комбинированная ставка — для расчёта обязательно укажите вес нетто. Система pre-wetted поставляется сухой — пропитка на объекте.</t>
        </is>
      </c>
    </row>
    <row r="66">
      <c r="A66" s="6" t="n">
        <v>44</v>
      </c>
      <c r="B66" s="6" t="inlineStr">
        <is>
          <t>Моп одноразовый для дезинфекции процедурных</t>
        </is>
      </c>
      <c r="C66" s="6" t="inlineStr">
        <is>
          <t>Медицина</t>
        </is>
      </c>
      <c r="D66" s="6" t="inlineStr">
        <is>
          <t>уп</t>
        </is>
      </c>
      <c r="E66" s="6" t="n">
        <v>5</v>
      </c>
      <c r="F66" s="7" t="inlineStr">
        <is>
          <t>6307103000</t>
        </is>
      </c>
      <c r="G66" s="6" t="inlineStr">
        <is>
          <t>Тряпки для мытья полов, протирочные материалы — нетканые</t>
        </is>
      </c>
      <c r="H66" s="8" t="n">
        <v>0.13</v>
      </c>
      <c r="I66" s="9" t="n">
        <v>0.46</v>
      </c>
      <c r="J66" s="10" t="n"/>
      <c r="K66" s="11" t="n"/>
      <c r="L66" s="12">
        <f>IF(AND(ISNUMBER(E66),ISNUMBER(K66)),E66*K66,0)</f>
        <v/>
      </c>
      <c r="M66" s="12">
        <f>IF(SUM($L$6:$L$70)=0,0,L66/SUM($L$6:$L$70)*Параметры!$B$9)</f>
        <v/>
      </c>
      <c r="N66" s="13">
        <f>(L66+M66)*Параметры!$B$4</f>
        <v/>
      </c>
      <c r="O66" s="13">
        <f>MAX(N66*N(H66),IF(AND(ISNUMBER(J66),ISNUMBER(E66)),E66*J66*N(I66)*Параметры!$B$5,0))</f>
        <v/>
      </c>
      <c r="P66" s="13">
        <f>(N66+O66)*Параметры!$B$6</f>
        <v/>
      </c>
      <c r="Q66" s="13">
        <f>O66+P66</f>
        <v/>
      </c>
      <c r="R66" s="13">
        <f>IF(OR(N(E66)=0,N66=0),"",(N66+O66+($D$78+$D$80+$D$81)*N66/$D$75)/E66)</f>
        <v/>
      </c>
      <c r="S66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66" s="14" t="inlineStr">
        <is>
          <t>высокая</t>
        </is>
      </c>
      <c r="U66" s="6" t="inlineStr">
        <is>
          <t>Специфическая/комбинированная ставка — для расчёта обязательно укажите вес нетто.</t>
        </is>
      </c>
    </row>
    <row r="67">
      <c r="A67" s="5" t="inlineStr">
        <is>
          <t>Для пищевых помещений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6" t="n">
        <v>45</v>
      </c>
      <c r="B68" s="6" t="inlineStr">
        <is>
          <t>Ёршики/щётки для труб и стоков</t>
        </is>
      </c>
      <c r="C68" s="6" t="inlineStr">
        <is>
          <t>Пищевые помещения</t>
        </is>
      </c>
      <c r="D68" s="6" t="inlineStr">
        <is>
          <t>шт</t>
        </is>
      </c>
      <c r="E68" s="6" t="n">
        <v>20</v>
      </c>
      <c r="F68" s="7" t="inlineStr">
        <is>
          <t>9603909100</t>
        </is>
      </c>
      <c r="G68" s="6" t="inlineStr">
        <is>
          <t>Щётки и швабры для дома/хозяйственные, щётки для уборки покрытий</t>
        </is>
      </c>
      <c r="H68" s="8" t="n">
        <v>0.1</v>
      </c>
      <c r="I68" s="9" t="n"/>
      <c r="J68" s="10" t="n"/>
      <c r="K68" s="11" t="n"/>
      <c r="L68" s="12">
        <f>IF(AND(ISNUMBER(E68),ISNUMBER(K68)),E68*K68,0)</f>
        <v/>
      </c>
      <c r="M68" s="12">
        <f>IF(SUM($L$6:$L$70)=0,0,L68/SUM($L$6:$L$70)*Параметры!$B$9)</f>
        <v/>
      </c>
      <c r="N68" s="13">
        <f>(L68+M68)*Параметры!$B$4</f>
        <v/>
      </c>
      <c r="O68" s="13">
        <f>MAX(N68*N(H68),IF(AND(ISNUMBER(J68),ISNUMBER(E68)),E68*J68*N(I68)*Параметры!$B$5,0))</f>
        <v/>
      </c>
      <c r="P68" s="13">
        <f>(N68+O68)*Параметры!$B$6</f>
        <v/>
      </c>
      <c r="Q68" s="13">
        <f>O68+P68</f>
        <v/>
      </c>
      <c r="R68" s="13">
        <f>IF(OR(N(E68)=0,N68=0),"",(N68+O68+($D$78+$D$80+$D$81)*N68/$D$75)/E68)</f>
        <v/>
      </c>
      <c r="S68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68" s="14" t="inlineStr">
        <is>
          <t>высокая</t>
        </is>
      </c>
      <c r="U68" s="6" t="inlineStr"/>
    </row>
    <row r="69">
      <c r="A69" s="6" t="n">
        <v>46</v>
      </c>
      <c r="B69" s="6" t="inlineStr">
        <is>
          <t>Моп из микрофибры, разрешённый для контакта с пищ. поверхностями</t>
        </is>
      </c>
      <c r="C69" s="6" t="inlineStr">
        <is>
          <t>Пищевые помещения</t>
        </is>
      </c>
      <c r="D69" s="6" t="inlineStr">
        <is>
          <t>шт</t>
        </is>
      </c>
      <c r="E69" s="6" t="n">
        <v>30</v>
      </c>
      <c r="F69" s="7" t="inlineStr">
        <is>
          <t>6307101000</t>
        </is>
      </c>
      <c r="G69" s="6" t="inlineStr">
        <is>
          <t>Тряпки для мытья полов, протирочные материалы — трикотажные</t>
        </is>
      </c>
      <c r="H69" s="8" t="n"/>
      <c r="I69" s="9" t="n">
        <v>0.61</v>
      </c>
      <c r="J69" s="10" t="n"/>
      <c r="K69" s="11" t="n"/>
      <c r="L69" s="12">
        <f>IF(AND(ISNUMBER(E69),ISNUMBER(K69)),E69*K69,0)</f>
        <v/>
      </c>
      <c r="M69" s="12">
        <f>IF(SUM($L$6:$L$70)=0,0,L69/SUM($L$6:$L$70)*Параметры!$B$9)</f>
        <v/>
      </c>
      <c r="N69" s="13">
        <f>(L69+M69)*Параметры!$B$4</f>
        <v/>
      </c>
      <c r="O69" s="13">
        <f>MAX(N69*N(H69),IF(AND(ISNUMBER(J69),ISNUMBER(E69)),E69*J69*N(I69)*Параметры!$B$5,0))</f>
        <v/>
      </c>
      <c r="P69" s="13">
        <f>(N69+O69)*Параметры!$B$6</f>
        <v/>
      </c>
      <c r="Q69" s="13">
        <f>O69+P69</f>
        <v/>
      </c>
      <c r="R69" s="13">
        <f>IF(OR(N(E69)=0,N69=0),"",(N69+O69+($D$78+$D$80+$D$81)*N69/$D$75)/E69)</f>
        <v/>
      </c>
      <c r="S69" s="6" t="inlineStr">
        <is>
          <t>Как правило, вне ТР ТС 017 (протирочные изделия хоз. назначения) — отказное письмо. Проверить обязательную маркировку «Честный знак» (лёгкая промышленность) для кода 6307 на дату ввоза.</t>
        </is>
      </c>
      <c r="T69" s="14" t="inlineStr">
        <is>
          <t>средняя</t>
        </is>
      </c>
      <c r="U69" s="6" t="inlineStr">
        <is>
          <t>Специфическая/комбинированная ставка — для расчёта обязательно укажите вес нетто. Для пищевых зон запросить у производителя декларацию/HACCP-подтверждение (добровольно).</t>
        </is>
      </c>
    </row>
    <row r="70">
      <c r="A70" s="6" t="n">
        <v>47</v>
      </c>
      <c r="B70" s="6" t="inlineStr">
        <is>
          <t>Сгон для воды пищевого класса (для цехов)</t>
        </is>
      </c>
      <c r="C70" s="6" t="inlineStr">
        <is>
          <t>Пищевые помещения</t>
        </is>
      </c>
      <c r="D70" s="6" t="inlineStr">
        <is>
          <t>шт</t>
        </is>
      </c>
      <c r="E70" s="6" t="n">
        <v>10</v>
      </c>
      <c r="F70" s="7" t="inlineStr">
        <is>
          <t>9603909900</t>
        </is>
      </c>
      <c r="G70" s="6" t="inlineStr">
        <is>
          <t>Прочие щётки, швабры (мопы); ракли резиновые (сгоны)</t>
        </is>
      </c>
      <c r="H70" s="8" t="n">
        <v>0.125</v>
      </c>
      <c r="I70" s="9" t="n"/>
      <c r="J70" s="10" t="n"/>
      <c r="K70" s="11" t="n"/>
      <c r="L70" s="12">
        <f>IF(AND(ISNUMBER(E70),ISNUMBER(K70)),E70*K70,0)</f>
        <v/>
      </c>
      <c r="M70" s="12">
        <f>IF(SUM($L$6:$L$70)=0,0,L70/SUM($L$6:$L$70)*Параметры!$B$9)</f>
        <v/>
      </c>
      <c r="N70" s="13">
        <f>(L70+M70)*Параметры!$B$4</f>
        <v/>
      </c>
      <c r="O70" s="13">
        <f>MAX(N70*N(H70),IF(AND(ISNUMBER(J70),ISNUMBER(E70)),E70*J70*N(I70)*Параметры!$B$5,0))</f>
        <v/>
      </c>
      <c r="P70" s="13">
        <f>(N70+O70)*Параметры!$B$6</f>
        <v/>
      </c>
      <c r="Q70" s="13">
        <f>O70+P70</f>
        <v/>
      </c>
      <c r="R70" s="13">
        <f>IF(OR(N(E70)=0,N70=0),"",(N70+O70+($D$78+$D$80+$D$81)*N70/$D$75)/E70)</f>
        <v/>
      </c>
      <c r="S70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T70" s="14" t="inlineStr">
        <is>
          <t>высокая</t>
        </is>
      </c>
      <c r="U70" s="6" t="inlineStr"/>
    </row>
    <row r="73">
      <c r="B73" s="16" t="inlineStr">
        <is>
          <t>ИТОГО ПО ПАРТИИ (одна декларация на товары)</t>
        </is>
      </c>
    </row>
    <row r="74">
      <c r="B74" s="17" t="inlineStr">
        <is>
          <t>Стоимость по инвойсу, USD</t>
        </is>
      </c>
      <c r="D74" s="18">
        <f>SUM(L6:L70)</f>
        <v/>
      </c>
    </row>
    <row r="75">
      <c r="B75" s="17" t="inlineStr">
        <is>
          <t>Таможенная стоимость, ₽</t>
        </is>
      </c>
      <c r="D75" s="19">
        <f>SUM(N6:N70)</f>
        <v/>
      </c>
    </row>
    <row r="76">
      <c r="B76" s="17" t="inlineStr">
        <is>
          <t>Ввозная пошлина, ₽</t>
        </is>
      </c>
      <c r="D76" s="19">
        <f>SUM(O6:O70)</f>
        <v/>
      </c>
    </row>
    <row r="77">
      <c r="B77" s="17" t="inlineStr">
        <is>
          <t>НДС 22% при ввозе, ₽</t>
        </is>
      </c>
      <c r="D77" s="19">
        <f>SUM(P6:P70)</f>
        <v/>
      </c>
    </row>
    <row r="78">
      <c r="B78" s="17" t="inlineStr">
        <is>
          <t>Таможенный сбор, ₽</t>
        </is>
      </c>
      <c r="D78" s="19">
        <f>IF(D75=0,0,LOOKUP(D75,Параметры!$E$5:$E$12,Параметры!$G$5:$G$12))</f>
        <v/>
      </c>
    </row>
    <row r="79">
      <c r="B79" s="16" t="inlineStr">
        <is>
          <t>ИТОГО платежей на таможне, ₽</t>
        </is>
      </c>
      <c r="D79" s="20">
        <f>D76+D77+D78</f>
        <v/>
      </c>
    </row>
    <row r="80">
      <c r="B80" s="17" t="inlineStr">
        <is>
          <t>Брокер (ДТ + доп. коды), ₽</t>
        </is>
      </c>
      <c r="D80" s="19">
        <f>Параметры!$B$12+MAX(0,D83-Параметры!$B$14)*Параметры!$B$13</f>
        <v/>
      </c>
    </row>
    <row r="81">
      <c r="B81" s="17" t="inlineStr">
        <is>
          <t>Разрешительные документы (оценка), ₽</t>
        </is>
      </c>
      <c r="D81" s="19">
        <f>Параметры!$B$15</f>
        <v/>
      </c>
    </row>
    <row r="82">
      <c r="B82" s="16" t="inlineStr">
        <is>
          <t>ВСЕГО расходов на растаможку, ₽</t>
        </is>
      </c>
      <c r="D82" s="20">
        <f>D79+D80+D81</f>
        <v/>
      </c>
    </row>
    <row r="83">
      <c r="B83" s="17" t="inlineStr">
        <is>
          <t>Разных кодов ТН ВЭД в партии</t>
        </is>
      </c>
      <c r="D83" s="21" t="n">
        <v>14</v>
      </c>
    </row>
    <row r="84">
      <c r="B84" s="17" t="inlineStr">
        <is>
          <t>в т. ч. НДС к вычету (при ОСНО), ₽</t>
        </is>
      </c>
      <c r="D84" s="19">
        <f>D77</f>
        <v/>
      </c>
    </row>
    <row r="85">
      <c r="B85" s="17" t="inlineStr">
        <is>
          <t>Себестоимость партии на складе без НДС (без доставки по РФ), ₽</t>
        </is>
      </c>
      <c r="D85" s="19">
        <f>D75+D76+D78+D80+D81</f>
        <v/>
      </c>
    </row>
  </sheetData>
  <mergeCells count="13">
    <mergeCell ref="B74:C74"/>
    <mergeCell ref="B77:C77"/>
    <mergeCell ref="B78:C78"/>
    <mergeCell ref="B80:C80"/>
    <mergeCell ref="B81:C81"/>
    <mergeCell ref="B76:C76"/>
    <mergeCell ref="B85:C85"/>
    <mergeCell ref="B84:C84"/>
    <mergeCell ref="B79:C79"/>
    <mergeCell ref="A3:L3"/>
    <mergeCell ref="B82:C82"/>
    <mergeCell ref="B83:C83"/>
    <mergeCell ref="B75:C7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30" customWidth="1" min="4" max="4"/>
    <col width="12" customWidth="1" min="5" max="5"/>
    <col width="24" customWidth="1" min="6" max="6"/>
    <col width="9" customWidth="1" min="7" max="7"/>
    <col width="14" customWidth="1" min="8" max="8"/>
    <col width="32" customWidth="1" min="9" max="9"/>
    <col width="9" customWidth="1" min="10" max="10"/>
    <col width="11" customWidth="1" min="11" max="11"/>
    <col width="10" customWidth="1" min="12" max="12"/>
    <col width="12" customWidth="1" min="13" max="13"/>
    <col width="13" customWidth="1" min="14" max="14"/>
    <col width="12" customWidth="1" min="15" max="15"/>
    <col width="14" customWidth="1" min="16" max="16"/>
    <col width="12" customWidth="1" min="17" max="17"/>
    <col width="12" customWidth="1" min="18" max="18"/>
    <col width="13" customWidth="1" min="19" max="19"/>
    <col width="13" customWidth="1" min="20" max="20"/>
    <col width="12" customWidth="1" min="21" max="21"/>
    <col width="48" customWidth="1" min="22" max="22"/>
    <col width="11" customWidth="1" min="23" max="23"/>
    <col width="46" customWidth="1" min="24" max="24"/>
  </cols>
  <sheetData>
    <row r="1">
      <c r="A1" s="1" t="inlineStr">
        <is>
          <t>Оборудование для клининга на высоте — коды ТН ВЭД и расчёт таможенных платежей</t>
        </is>
      </c>
    </row>
    <row r="2">
      <c r="A2" s="2" t="inlineStr">
        <is>
          <t>Источник: «Оборудование для промышленного клининга на высоте — цех, 16 м». Страна происхождения — Китай.</t>
        </is>
      </c>
    </row>
    <row r="3" ht="28" customHeight="1">
      <c r="A3" s="3" t="inlineStr">
        <is>
          <t>Жёлтые ячейки — вводные (вес, цена, кол-во). Зелёным выделен код ТН ВЭД, розовым — низкая уверенность (нужна консультация брокера или предварительное решение ФТС). Ставки пошлин — по справочникам ЕТТ ЕАЭС, сверить на дату ввоза.</t>
        </is>
      </c>
    </row>
    <row r="5" ht="45" customHeight="1">
      <c r="A5" s="4" t="inlineStr">
        <is>
          <t>№</t>
        </is>
      </c>
      <c r="B5" s="4" t="inlineStr">
        <is>
          <t>Категория</t>
        </is>
      </c>
      <c r="C5" s="4" t="inlineStr">
        <is>
          <t>Оборудование</t>
        </is>
      </c>
      <c r="D5" s="4" t="inlineStr">
        <is>
          <t>Назначение / где применяется</t>
        </is>
      </c>
      <c r="E5" s="4" t="inlineStr">
        <is>
          <t>Кол-во (рекоменд.)</t>
        </is>
      </c>
      <c r="F5" s="4" t="inlineStr">
        <is>
          <t>Примечание</t>
        </is>
      </c>
      <c r="G5" s="4" t="inlineStr">
        <is>
          <t>Кол-во к расчёту</t>
        </is>
      </c>
      <c r="H5" s="4" t="inlineStr">
        <is>
          <t>Код ТН ВЭД ЕАЭС</t>
        </is>
      </c>
      <c r="I5" s="4" t="inlineStr">
        <is>
          <t>Описание по ТН ВЭД</t>
        </is>
      </c>
      <c r="J5" s="4" t="inlineStr">
        <is>
          <t>Пошлина, %</t>
        </is>
      </c>
      <c r="K5" s="4" t="inlineStr">
        <is>
          <t>Пошлина, €/кг (мин./специф.)</t>
        </is>
      </c>
      <c r="L5" s="4" t="inlineStr">
        <is>
          <t>Вес нетто ед., кг</t>
        </is>
      </c>
      <c r="M5" s="4" t="inlineStr">
        <is>
          <t>Цена за ед., USD</t>
        </is>
      </c>
      <c r="N5" s="4" t="inlineStr">
        <is>
          <t>Стоимость по инвойсу, USD</t>
        </is>
      </c>
      <c r="O5" s="4" t="inlineStr">
        <is>
          <t>Доставка до границы, USD</t>
        </is>
      </c>
      <c r="P5" s="4" t="inlineStr">
        <is>
          <t>Таможенная стоимость, ₽</t>
        </is>
      </c>
      <c r="Q5" s="4" t="inlineStr">
        <is>
          <t>Пошлина, ₽</t>
        </is>
      </c>
      <c r="R5" s="4" t="inlineStr">
        <is>
          <t>НДС 22%, ₽</t>
        </is>
      </c>
      <c r="S5" s="4" t="inlineStr">
        <is>
          <t>Пошлина + НДС, ₽</t>
        </is>
      </c>
      <c r="T5" s="4" t="inlineStr">
        <is>
          <t>Себестоимость ед. без НДС, ₽</t>
        </is>
      </c>
      <c r="U5" s="4" t="inlineStr">
        <is>
          <t>Оценка стоимости документов, ₽</t>
        </is>
      </c>
      <c r="V5" s="4" t="inlineStr">
        <is>
          <t>Разрешительные документы</t>
        </is>
      </c>
      <c r="W5" s="4" t="inlineStr">
        <is>
          <t>Уверенность в коде</t>
        </is>
      </c>
      <c r="X5" s="4" t="inlineStr">
        <is>
          <t>Комментарий / альтернативы</t>
        </is>
      </c>
    </row>
    <row r="6">
      <c r="A6" s="5" t="inlineStr">
        <is>
          <t>Подъёмная техника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>
      <c r="A7" s="6" t="n">
        <v>1</v>
      </c>
      <c r="B7" s="6" t="inlineStr">
        <is>
          <t>Подъёмная техника</t>
        </is>
      </c>
      <c r="C7" s="6" t="inlineStr">
        <is>
          <t>Шарнирная электровышка (Articulated Boom)</t>
        </is>
      </c>
      <c r="D7" s="6" t="inlineStr">
        <is>
          <t>Рабочая высота ~18–20 м; обход балок, кран-балок, трубопроводов</t>
        </is>
      </c>
      <c r="E7" s="6" t="inlineStr">
        <is>
          <t>1–2 шт</t>
        </is>
      </c>
      <c r="F7" s="6" t="inlineStr">
        <is>
          <t>Genie Z-60/Z-62, JLG 600AJ, Haulotte HA20 RTJ (эл.)</t>
        </is>
      </c>
      <c r="G7" s="22" t="n">
        <v>1</v>
      </c>
      <c r="H7" s="7" t="inlineStr">
        <is>
          <t>8427101000</t>
        </is>
      </c>
      <c r="I7" s="6" t="inlineStr">
        <is>
          <t>Подъёмники/погрузчики самоходные с электродвигателем, высота подъёма ≥ 1 м</t>
        </is>
      </c>
      <c r="J7" s="8" t="n">
        <v>0</v>
      </c>
      <c r="K7" s="9" t="n"/>
      <c r="L7" s="10" t="n"/>
      <c r="M7" s="11" t="n"/>
      <c r="N7" s="12">
        <f>IF(AND(ISNUMBER(G7),ISNUMBER(M7)),G7*M7,0)</f>
        <v/>
      </c>
      <c r="O7" s="12">
        <f>IF(SUM($N$6:$N$23)=0,0,N7/SUM($N$6:$N$23)*Параметры!$B$10)</f>
        <v/>
      </c>
      <c r="P7" s="13">
        <f>(N7+O7)*Параметры!$B$4</f>
        <v/>
      </c>
      <c r="Q7" s="13">
        <f>MAX(P7*N(J7),IF(AND(ISNUMBER(L7),ISNUMBER(G7)),G7*L7*N(K7)*Параметры!$B$5,0))</f>
        <v/>
      </c>
      <c r="R7" s="13">
        <f>(P7+Q7)*Параметры!$B$6</f>
        <v/>
      </c>
      <c r="S7" s="13">
        <f>Q7+R7</f>
        <v/>
      </c>
      <c r="T7" s="13">
        <f>IF(OR(N(G7)=0,P7=0),"",(P7+Q7+($D$31+$D$33+$D$34)*P7/$D$28)/G7)</f>
        <v/>
      </c>
      <c r="U7" s="23" t="n">
        <v>80000</v>
      </c>
      <c r="V7" s="6" t="inlineStr">
        <is>
          <t>ТР ТС 010 — сертификат соответствия; ТР ТС 020 (ЭМС) — декларация. После ввоза: электронный паспорт самоходной машины (ЭПСМ) и регистрация в Гостехнадзоре; проверить утилизационный сбор (ПП РФ № 81); учёт в Ростехнадзоре при работе на опасном производственном объекте. Тяговые АКБ — опасный груз при перевозке.</t>
        </is>
      </c>
      <c r="W7" s="14" t="inlineStr">
        <is>
          <t>высокая</t>
        </is>
      </c>
      <c r="X7" s="6" t="inlineStr">
        <is>
          <t>Код — для электрической самоходной версии. Genie, JLG (США), Haulotte (Франция) — санкционные ограничения на поставки в РФ, риск для гарантии и запчастей. Из Китая надёжнее брать Dingli, Sinoboom, LGMG, XCMG, Zoomlion.</t>
        </is>
      </c>
    </row>
    <row r="8">
      <c r="A8" s="6" t="n">
        <v>2</v>
      </c>
      <c r="B8" s="6" t="inlineStr">
        <is>
          <t>Подъёмная техника</t>
        </is>
      </c>
      <c r="C8" s="6" t="inlineStr">
        <is>
          <t>Телескопическая электровышка (Telescopic Boom)</t>
        </is>
      </c>
      <c r="D8" s="6" t="inlineStr">
        <is>
          <t>Большой горизонтальный вылет, работа через оборудование</t>
        </is>
      </c>
      <c r="E8" s="6" t="inlineStr">
        <is>
          <t>1 шт (по потребности)</t>
        </is>
      </c>
      <c r="F8" s="6" t="inlineStr">
        <is>
          <t>Рабочая высота ~18–20 м</t>
        </is>
      </c>
      <c r="G8" s="22" t="n">
        <v>1</v>
      </c>
      <c r="H8" s="7" t="inlineStr">
        <is>
          <t>8427101000</t>
        </is>
      </c>
      <c r="I8" s="6" t="inlineStr">
        <is>
          <t>Подъёмники/погрузчики самоходные с электродвигателем, высота подъёма ≥ 1 м</t>
        </is>
      </c>
      <c r="J8" s="8" t="n">
        <v>0</v>
      </c>
      <c r="K8" s="9" t="n"/>
      <c r="L8" s="10" t="n"/>
      <c r="M8" s="11" t="n"/>
      <c r="N8" s="12">
        <f>IF(AND(ISNUMBER(G8),ISNUMBER(M8)),G8*M8,0)</f>
        <v/>
      </c>
      <c r="O8" s="12">
        <f>IF(SUM($N$6:$N$23)=0,0,N8/SUM($N$6:$N$23)*Параметры!$B$10)</f>
        <v/>
      </c>
      <c r="P8" s="13">
        <f>(N8+O8)*Параметры!$B$4</f>
        <v/>
      </c>
      <c r="Q8" s="13">
        <f>MAX(P8*N(J8),IF(AND(ISNUMBER(L8),ISNUMBER(G8)),G8*L8*N(K8)*Параметры!$B$5,0))</f>
        <v/>
      </c>
      <c r="R8" s="13">
        <f>(P8+Q8)*Параметры!$B$6</f>
        <v/>
      </c>
      <c r="S8" s="13">
        <f>Q8+R8</f>
        <v/>
      </c>
      <c r="T8" s="13">
        <f>IF(OR(N(G8)=0,P8=0),"",(P8+Q8+($D$31+$D$33+$D$34)*P8/$D$28)/G8)</f>
        <v/>
      </c>
      <c r="U8" s="23" t="n">
        <v>0</v>
      </c>
      <c r="V8" s="6" t="inlineStr">
        <is>
          <t>ТР ТС 010 — сертификат соответствия; ТР ТС 020 (ЭМС) — декларация. После ввоза: электронный паспорт самоходной машины (ЭПСМ) и регистрация в Гостехнадзоре; проверить утилизационный сбор (ПП РФ № 81); учёт в Ростехнадзоре при работе на опасном производственном объекте. Тяговые АКБ — опасный груз при перевозке.</t>
        </is>
      </c>
      <c r="W8" s="14" t="inlineStr">
        <is>
          <t>высокая</t>
        </is>
      </c>
      <c r="X8" s="6" t="inlineStr">
        <is>
          <t>Код — для электрической самоходной версии. Genie, JLG (США), Haulotte (Франция) — санкционные ограничения на поставки в РФ, риск для гарантии и запчастей. Из Китая надёжнее брать Dingli, Sinoboom, LGMG, XCMG, Zoomlion.</t>
        </is>
      </c>
    </row>
    <row r="9">
      <c r="A9" s="6" t="n">
        <v>3</v>
      </c>
      <c r="B9" s="6" t="inlineStr">
        <is>
          <t>Подъёмная техника</t>
        </is>
      </c>
      <c r="C9" s="6" t="inlineStr">
        <is>
          <t>Паук-подъёмник (Spider Lift, гусеничный)</t>
        </is>
      </c>
      <c r="D9" s="6" t="inlineStr">
        <is>
          <t>Неровный пол, пороги, узкие проёмы от 70–80 см, без повреждения покрытия</t>
        </is>
      </c>
      <c r="E9" s="6" t="inlineStr">
        <is>
          <t>1 шт (по потребности)</t>
        </is>
      </c>
      <c r="F9" s="6" t="inlineStr">
        <is>
          <t>Teupen Leo 23, Hinowa 21.75, Omme 2100RBDJ</t>
        </is>
      </c>
      <c r="G9" s="22" t="n">
        <v>1</v>
      </c>
      <c r="H9" s="7" t="inlineStr">
        <is>
          <t>8427101000</t>
        </is>
      </c>
      <c r="I9" s="6" t="inlineStr">
        <is>
          <t>Подъёмники/погрузчики самоходные с электродвигателем, высота подъёма ≥ 1 м</t>
        </is>
      </c>
      <c r="J9" s="8" t="n">
        <v>0</v>
      </c>
      <c r="K9" s="9" t="n"/>
      <c r="L9" s="10" t="n"/>
      <c r="M9" s="11" t="n"/>
      <c r="N9" s="12">
        <f>IF(AND(ISNUMBER(G9),ISNUMBER(M9)),G9*M9,0)</f>
        <v/>
      </c>
      <c r="O9" s="12">
        <f>IF(SUM($N$6:$N$23)=0,0,N9/SUM($N$6:$N$23)*Параметры!$B$10)</f>
        <v/>
      </c>
      <c r="P9" s="13">
        <f>(N9+O9)*Параметры!$B$4</f>
        <v/>
      </c>
      <c r="Q9" s="13">
        <f>MAX(P9*N(J9),IF(AND(ISNUMBER(L9),ISNUMBER(G9)),G9*L9*N(K9)*Параметры!$B$5,0))</f>
        <v/>
      </c>
      <c r="R9" s="13">
        <f>(P9+Q9)*Параметры!$B$6</f>
        <v/>
      </c>
      <c r="S9" s="13">
        <f>Q9+R9</f>
        <v/>
      </c>
      <c r="T9" s="13">
        <f>IF(OR(N(G9)=0,P9=0),"",(P9+Q9+($D$31+$D$33+$D$34)*P9/$D$28)/G9)</f>
        <v/>
      </c>
      <c r="U9" s="23" t="n">
        <v>80000</v>
      </c>
      <c r="V9" s="6" t="inlineStr">
        <is>
          <t>ТР ТС 010 — сертификат соответствия; ТР ТС 020 (ЭМС) — декларация. После ввоза: электронный паспорт самоходной машины (ЭПСМ) и регистрация в Гостехнадзоре; проверить утилизационный сбор (ПП РФ № 81); учёт в Ростехнадзоре при работе на опасном производственном объекте. Тяговые АКБ — опасный груз при перевозке.</t>
        </is>
      </c>
      <c r="W9" s="14" t="inlineStr">
        <is>
          <t>средняя</t>
        </is>
      </c>
      <c r="X9" s="6" t="inlineStr">
        <is>
          <t>Teupen, Hinowa, Omme часто дизель/гибрид: дизель → 8427 20 190 0 (ставку и утильсбор уточнить). Европейские бренды — санкционные ограничения.</t>
        </is>
      </c>
    </row>
    <row r="10">
      <c r="A10" s="6" t="n">
        <v>4</v>
      </c>
      <c r="B10" s="6" t="inlineStr">
        <is>
          <t>Подъёмная техника</t>
        </is>
      </c>
      <c r="C10" s="6" t="inlineStr">
        <is>
          <t>Вышка-тура алюминиевая передвижная</t>
        </is>
      </c>
      <c r="D10" s="6" t="inlineStr">
        <is>
          <t>Точечные работы там, где подъёмник не пройдёт, высота 4–12 м</t>
        </is>
      </c>
      <c r="E10" s="6" t="inlineStr">
        <is>
          <t>2–3 шт</t>
        </is>
      </c>
      <c r="F10" s="6" t="inlineStr">
        <is>
          <t>На колёсах, с фиксаторами</t>
        </is>
      </c>
      <c r="G10" s="22" t="n">
        <v>2</v>
      </c>
      <c r="H10" s="7" t="inlineStr">
        <is>
          <t>7610909000</t>
        </is>
      </c>
      <c r="I10" s="6" t="inlineStr">
        <is>
          <t>Металлоконструкции из алюминия, прочие</t>
        </is>
      </c>
      <c r="J10" s="8" t="n">
        <v>0.1</v>
      </c>
      <c r="K10" s="9" t="n"/>
      <c r="L10" s="10" t="n"/>
      <c r="M10" s="11" t="n"/>
      <c r="N10" s="12">
        <f>IF(AND(ISNUMBER(G10),ISNUMBER(M10)),G10*M10,0)</f>
        <v/>
      </c>
      <c r="O10" s="12">
        <f>IF(SUM($N$6:$N$23)=0,0,N10/SUM($N$6:$N$23)*Параметры!$B$10)</f>
        <v/>
      </c>
      <c r="P10" s="13">
        <f>(N10+O10)*Параметры!$B$4</f>
        <v/>
      </c>
      <c r="Q10" s="13">
        <f>MAX(P10*N(J10),IF(AND(ISNUMBER(L10),ISNUMBER(G10)),G10*L10*N(K10)*Параметры!$B$5,0))</f>
        <v/>
      </c>
      <c r="R10" s="13">
        <f>(P10+Q10)*Параметры!$B$6</f>
        <v/>
      </c>
      <c r="S10" s="13">
        <f>Q10+R10</f>
        <v/>
      </c>
      <c r="T10" s="13">
        <f>IF(OR(N(G10)=0,P10=0),"",(P10+Q10+($D$31+$D$33+$D$34)*P10/$D$28)/G10)</f>
        <v/>
      </c>
      <c r="U10" s="23" t="n">
        <v>15000</v>
      </c>
      <c r="V10" s="6" t="inlineStr">
        <is>
          <t>ТР ТС/ЕАЭС не распространяется. Рекомендуем добровольный сертификат ГОСТ Р и паспорт изделия — нужны для допуска к работам по Правилам по охране труда при работе на высоте.</t>
        </is>
      </c>
      <c r="W10" s="14" t="inlineStr">
        <is>
          <t>высокая</t>
        </is>
      </c>
      <c r="X10" s="6" t="inlineStr"/>
    </row>
    <row r="11">
      <c r="A11" s="6" t="n">
        <v>5</v>
      </c>
      <c r="B11" s="6" t="inlineStr">
        <is>
          <t>Подъёмная техника</t>
        </is>
      </c>
      <c r="C11" s="6" t="inlineStr">
        <is>
          <t>Стремянка-платформа</t>
        </is>
      </c>
      <c r="D11" s="6" t="inlineStr">
        <is>
          <t>Низкие зоны до 4–5 м</t>
        </is>
      </c>
      <c r="E11" s="6" t="inlineStr">
        <is>
          <t>2 шт</t>
        </is>
      </c>
      <c r="F11" s="6" t="n"/>
      <c r="G11" s="22" t="n">
        <v>2</v>
      </c>
      <c r="H11" s="7" t="inlineStr">
        <is>
          <t>7616999008</t>
        </is>
      </c>
      <c r="I11" s="6" t="inlineStr">
        <is>
          <t>Изделия из алюминия прочие</t>
        </is>
      </c>
      <c r="J11" s="8" t="n">
        <v>0.09</v>
      </c>
      <c r="K11" s="9" t="n"/>
      <c r="L11" s="10" t="n"/>
      <c r="M11" s="11" t="n"/>
      <c r="N11" s="12">
        <f>IF(AND(ISNUMBER(G11),ISNUMBER(M11)),G11*M11,0)</f>
        <v/>
      </c>
      <c r="O11" s="12">
        <f>IF(SUM($N$6:$N$23)=0,0,N11/SUM($N$6:$N$23)*Параметры!$B$10)</f>
        <v/>
      </c>
      <c r="P11" s="13">
        <f>(N11+O11)*Параметры!$B$4</f>
        <v/>
      </c>
      <c r="Q11" s="13">
        <f>MAX(P11*N(J11),IF(AND(ISNUMBER(L11),ISNUMBER(G11)),G11*L11*N(K11)*Параметры!$B$5,0))</f>
        <v/>
      </c>
      <c r="R11" s="13">
        <f>(P11+Q11)*Параметры!$B$6</f>
        <v/>
      </c>
      <c r="S11" s="13">
        <f>Q11+R11</f>
        <v/>
      </c>
      <c r="T11" s="13">
        <f>IF(OR(N(G11)=0,P11=0),"",(P11+Q11+($D$31+$D$33+$D$34)*P11/$D$28)/G11)</f>
        <v/>
      </c>
      <c r="U11" s="23" t="n">
        <v>10000</v>
      </c>
      <c r="V11" s="6" t="inlineStr">
        <is>
          <t>ТР ТС/ЕАЭС не распространяется. Рекомендуем добровольный сертификат ГОСТ Р и паспорт изделия — нужны для допуска к работам по Правилам по охране труда при работе на высоте.</t>
        </is>
      </c>
      <c r="W11" s="14" t="inlineStr">
        <is>
          <t>средняя</t>
        </is>
      </c>
      <c r="X11" s="6" t="inlineStr">
        <is>
          <t>Стальная — 7326 90 980 7.</t>
        </is>
      </c>
    </row>
    <row r="12">
      <c r="A12" s="5" t="inlineStr">
        <is>
          <t>Клининговое оборудование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>
      <c r="A13" s="6" t="n">
        <v>14</v>
      </c>
      <c r="B13" s="6" t="inlineStr">
        <is>
          <t>Клининговое оборудование</t>
        </is>
      </c>
      <c r="C13" s="6" t="inlineStr">
        <is>
          <t>Промышленный пылесос (класс L/M/H)</t>
        </is>
      </c>
      <c r="D13" s="6" t="inlineStr">
        <is>
          <t>Пыль, металлическая стружка, цемент — по типу производства</t>
        </is>
      </c>
      <c r="E13" s="6" t="inlineStr">
        <is>
          <t>1–2 шт</t>
        </is>
      </c>
      <c r="F13" s="6" t="inlineStr">
        <is>
          <t>С длинной штангой/шлангом</t>
        </is>
      </c>
      <c r="G13" s="22" t="n">
        <v>1</v>
      </c>
      <c r="H13" s="7" t="inlineStr">
        <is>
          <t>8508190009</t>
        </is>
      </c>
      <c r="I13" s="6" t="inlineStr">
        <is>
          <t>Пылесосы со встроенным электродвигателем, прочие (&gt; 2000 Вт или &gt; 30 л)</t>
        </is>
      </c>
      <c r="J13" s="8" t="n">
        <v>0.03</v>
      </c>
      <c r="K13" s="9" t="n"/>
      <c r="L13" s="10" t="n"/>
      <c r="M13" s="11" t="n"/>
      <c r="N13" s="12">
        <f>IF(AND(ISNUMBER(G13),ISNUMBER(M13)),G13*M13,0)</f>
        <v/>
      </c>
      <c r="O13" s="12">
        <f>IF(SUM($N$6:$N$23)=0,0,N13/SUM($N$6:$N$23)*Параметры!$B$10)</f>
        <v/>
      </c>
      <c r="P13" s="13">
        <f>(N13+O13)*Параметры!$B$4</f>
        <v/>
      </c>
      <c r="Q13" s="13">
        <f>MAX(P13*N(J13),IF(AND(ISNUMBER(L13),ISNUMBER(G13)),G13*L13*N(K13)*Параметры!$B$5,0))</f>
        <v/>
      </c>
      <c r="R13" s="13">
        <f>(P13+Q13)*Параметры!$B$6</f>
        <v/>
      </c>
      <c r="S13" s="13">
        <f>Q13+R13</f>
        <v/>
      </c>
      <c r="T13" s="13">
        <f>IF(OR(N(G13)=0,P13=0),"",(P13+Q13+($D$31+$D$33+$D$34)*P13/$D$28)/G13)</f>
        <v/>
      </c>
      <c r="U13" s="23" t="n">
        <v>25000</v>
      </c>
      <c r="V13" s="6" t="inlineStr">
        <is>
          <t>ТР ТС 004 + ТР ТС 020 — декларация соответствия (для промышленных моделей обычно вместе с ТР ТС 010). Взрывозащищённое исполнение (ATEX / горючая пыль) — сертификат ТР ТС 012.</t>
        </is>
      </c>
      <c r="W13" s="14" t="inlineStr">
        <is>
          <t>высокая</t>
        </is>
      </c>
      <c r="X13" s="6" t="inlineStr">
        <is>
          <t>Код — для моделей &gt; 2000 Вт или с баком &gt; 30 л.</t>
        </is>
      </c>
    </row>
    <row r="14">
      <c r="A14" s="6" t="n">
        <v>15</v>
      </c>
      <c r="B14" s="6" t="inlineStr">
        <is>
          <t>Клининговое оборудование</t>
        </is>
      </c>
      <c r="C14" s="6" t="inlineStr">
        <is>
          <t>Аппарат сухой чистки сжатым воздухом</t>
        </is>
      </c>
      <c r="D14" s="6" t="inlineStr">
        <is>
          <t>Обдув ферм, кабель-каналов, светильников</t>
        </is>
      </c>
      <c r="E14" s="6" t="inlineStr">
        <is>
          <t>1 шт</t>
        </is>
      </c>
      <c r="F14" s="6" t="n"/>
      <c r="G14" s="22" t="n">
        <v>1</v>
      </c>
      <c r="H14" s="7" t="inlineStr">
        <is>
          <t>8424301000</t>
        </is>
      </c>
      <c r="I14" s="6" t="inlineStr">
        <is>
          <t>Струйные очистные машины, работающие от сжатого воздуха</t>
        </is>
      </c>
      <c r="J14" s="8" t="n">
        <v>0</v>
      </c>
      <c r="K14" s="9" t="n"/>
      <c r="L14" s="10" t="n"/>
      <c r="M14" s="11" t="n"/>
      <c r="N14" s="12">
        <f>IF(AND(ISNUMBER(G14),ISNUMBER(M14)),G14*M14,0)</f>
        <v/>
      </c>
      <c r="O14" s="12">
        <f>IF(SUM($N$6:$N$23)=0,0,N14/SUM($N$6:$N$23)*Параметры!$B$10)</f>
        <v/>
      </c>
      <c r="P14" s="13">
        <f>(N14+O14)*Параметры!$B$4</f>
        <v/>
      </c>
      <c r="Q14" s="13">
        <f>MAX(P14*N(J14),IF(AND(ISNUMBER(L14),ISNUMBER(G14)),G14*L14*N(K14)*Параметры!$B$5,0))</f>
        <v/>
      </c>
      <c r="R14" s="13">
        <f>(P14+Q14)*Параметры!$B$6</f>
        <v/>
      </c>
      <c r="S14" s="13">
        <f>Q14+R14</f>
        <v/>
      </c>
      <c r="T14" s="13">
        <f>IF(OR(N(G14)=0,P14=0),"",(P14+Q14+($D$31+$D$33+$D$34)*P14/$D$28)/G14)</f>
        <v/>
      </c>
      <c r="U14" s="23" t="n">
        <v>25000</v>
      </c>
      <c r="V14" s="6" t="inlineStr">
        <is>
          <t>ТР ТС 010 + ТР ТС 004 + ТР ТС 020 — декларация соответствия.</t>
        </is>
      </c>
      <c r="W14" s="14" t="inlineStr">
        <is>
          <t>средняя</t>
        </is>
      </c>
      <c r="X14" s="6" t="inlineStr">
        <is>
          <t>Криобластинг (сухой лёд) — тот же код. Простой продувочный пистолет/компрессор — 8424 / 8414 80.</t>
        </is>
      </c>
    </row>
    <row r="15">
      <c r="A15" s="6" t="n">
        <v>16</v>
      </c>
      <c r="B15" s="6" t="inlineStr">
        <is>
          <t>Клининговое оборудование</t>
        </is>
      </c>
      <c r="C15" s="6" t="inlineStr">
        <is>
          <t>Аппарат высокого/низкого давления с пеногенератором</t>
        </is>
      </c>
      <c r="D15" s="6" t="inlineStr">
        <is>
          <t>Обезжиривание металлоконструкций</t>
        </is>
      </c>
      <c r="E15" s="6" t="inlineStr">
        <is>
          <t>1 шт</t>
        </is>
      </c>
      <c r="F15" s="6" t="n"/>
      <c r="G15" s="22" t="n">
        <v>1</v>
      </c>
      <c r="H15" s="7" t="inlineStr">
        <is>
          <t>8424300800</t>
        </is>
      </c>
      <c r="I15" s="6" t="inlineStr">
        <is>
          <t>Аппараты водоструйные очистные со встроенным двигателем, без нагрева</t>
        </is>
      </c>
      <c r="J15" s="8" t="n">
        <v>0</v>
      </c>
      <c r="K15" s="9" t="n"/>
      <c r="L15" s="10" t="n"/>
      <c r="M15" s="11" t="n"/>
      <c r="N15" s="12">
        <f>IF(AND(ISNUMBER(G15),ISNUMBER(M15)),G15*M15,0)</f>
        <v/>
      </c>
      <c r="O15" s="12">
        <f>IF(SUM($N$6:$N$23)=0,0,N15/SUM($N$6:$N$23)*Параметры!$B$10)</f>
        <v/>
      </c>
      <c r="P15" s="13">
        <f>(N15+O15)*Параметры!$B$4</f>
        <v/>
      </c>
      <c r="Q15" s="13">
        <f>MAX(P15*N(J15),IF(AND(ISNUMBER(L15),ISNUMBER(G15)),G15*L15*N(K15)*Параметры!$B$5,0))</f>
        <v/>
      </c>
      <c r="R15" s="13">
        <f>(P15+Q15)*Параметры!$B$6</f>
        <v/>
      </c>
      <c r="S15" s="13">
        <f>Q15+R15</f>
        <v/>
      </c>
      <c r="T15" s="13">
        <f>IF(OR(N(G15)=0,P15=0),"",(P15+Q15+($D$31+$D$33+$D$34)*P15/$D$28)/G15)</f>
        <v/>
      </c>
      <c r="U15" s="23" t="n">
        <v>25000</v>
      </c>
      <c r="V15" s="6" t="inlineStr">
        <is>
          <t>ТР ТС 010 + ТР ТС 004 + ТР ТС 020 — декларация соответствия.</t>
        </is>
      </c>
      <c r="W15" s="14" t="inlineStr">
        <is>
          <t>средняя</t>
        </is>
      </c>
      <c r="X15" s="6" t="inlineStr">
        <is>
          <t>Ставка пошлины: НЕ ПОДТВЕРЖДЕНА — сверить. С нагревом воды — 8424 30 010 0 (0%). Ставку для 8424 30 080 0 сверить (у соседних подсубпозиций 0%).</t>
        </is>
      </c>
    </row>
    <row r="16">
      <c r="A16" s="6" t="n">
        <v>17</v>
      </c>
      <c r="B16" s="6" t="inlineStr">
        <is>
          <t>Клининговое оборудование</t>
        </is>
      </c>
      <c r="C16" s="6" t="inlineStr">
        <is>
          <t>Насадки-щётки на удлинителях</t>
        </is>
      </c>
      <c r="D16" s="6" t="inlineStr">
        <is>
          <t>Очистка воздуховодов, кабель-каналов, кран-балок</t>
        </is>
      </c>
      <c r="E16" s="6" t="inlineStr">
        <is>
          <t>Комплект</t>
        </is>
      </c>
      <c r="F16" s="6" t="n"/>
      <c r="G16" s="22" t="n">
        <v>1</v>
      </c>
      <c r="H16" s="7" t="inlineStr">
        <is>
          <t>9603909100</t>
        </is>
      </c>
      <c r="I16" s="6" t="inlineStr">
        <is>
          <t>Щётки и швабры для дома/хозяйственные, щётки для уборки покрытий</t>
        </is>
      </c>
      <c r="J16" s="8" t="n">
        <v>0.1</v>
      </c>
      <c r="K16" s="9" t="n"/>
      <c r="L16" s="10" t="n"/>
      <c r="M16" s="11" t="n"/>
      <c r="N16" s="12">
        <f>IF(AND(ISNUMBER(G16),ISNUMBER(M16)),G16*M16,0)</f>
        <v/>
      </c>
      <c r="O16" s="12">
        <f>IF(SUM($N$6:$N$23)=0,0,N16/SUM($N$6:$N$23)*Параметры!$B$10)</f>
        <v/>
      </c>
      <c r="P16" s="13">
        <f>(N16+O16)*Параметры!$B$4</f>
        <v/>
      </c>
      <c r="Q16" s="13">
        <f>MAX(P16*N(J16),IF(AND(ISNUMBER(L16),ISNUMBER(G16)),G16*L16*N(K16)*Параметры!$B$5,0))</f>
        <v/>
      </c>
      <c r="R16" s="13">
        <f>(P16+Q16)*Параметры!$B$6</f>
        <v/>
      </c>
      <c r="S16" s="13">
        <f>Q16+R16</f>
        <v/>
      </c>
      <c r="T16" s="13">
        <f>IF(OR(N(G16)=0,P16=0),"",(P16+Q16+($D$31+$D$33+$D$34)*P16/$D$28)/G16)</f>
        <v/>
      </c>
      <c r="U16" s="23" t="n">
        <v>0</v>
      </c>
      <c r="V16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W16" s="14" t="inlineStr">
        <is>
          <t>средняя</t>
        </is>
      </c>
      <c r="X16" s="6" t="inlineStr">
        <is>
          <t>Вращающиеся щётки для машины прочистки воздуховодов — 9603 50 000 0.</t>
        </is>
      </c>
    </row>
    <row r="17">
      <c r="A17" s="6" t="n">
        <v>18</v>
      </c>
      <c r="B17" s="6" t="inlineStr">
        <is>
          <t>Клининговое оборудование</t>
        </is>
      </c>
      <c r="C17" s="6" t="inlineStr">
        <is>
          <t>Промышленный пылесос-влаговсос</t>
        </is>
      </c>
      <c r="D17" s="6" t="inlineStr">
        <is>
          <t>Уборка пола после мойки</t>
        </is>
      </c>
      <c r="E17" s="6" t="inlineStr">
        <is>
          <t>1 шт</t>
        </is>
      </c>
      <c r="F17" s="6" t="n"/>
      <c r="G17" s="22" t="n">
        <v>1</v>
      </c>
      <c r="H17" s="7" t="inlineStr">
        <is>
          <t>8508190001</t>
        </is>
      </c>
      <c r="I17" s="6" t="inlineStr">
        <is>
          <t>Пылесосы ≤ 2000 Вт с пылесборником ≤ 30 л</t>
        </is>
      </c>
      <c r="J17" s="8" t="n">
        <v>0.05</v>
      </c>
      <c r="K17" s="9" t="n"/>
      <c r="L17" s="10" t="n"/>
      <c r="M17" s="11" t="n"/>
      <c r="N17" s="12">
        <f>IF(AND(ISNUMBER(G17),ISNUMBER(M17)),G17*M17,0)</f>
        <v/>
      </c>
      <c r="O17" s="12">
        <f>IF(SUM($N$6:$N$23)=0,0,N17/SUM($N$6:$N$23)*Параметры!$B$10)</f>
        <v/>
      </c>
      <c r="P17" s="13">
        <f>(N17+O17)*Параметры!$B$4</f>
        <v/>
      </c>
      <c r="Q17" s="13">
        <f>MAX(P17*N(J17),IF(AND(ISNUMBER(L17),ISNUMBER(G17)),G17*L17*N(K17)*Параметры!$B$5,0))</f>
        <v/>
      </c>
      <c r="R17" s="13">
        <f>(P17+Q17)*Параметры!$B$6</f>
        <v/>
      </c>
      <c r="S17" s="13">
        <f>Q17+R17</f>
        <v/>
      </c>
      <c r="T17" s="13">
        <f>IF(OR(N(G17)=0,P17=0),"",(P17+Q17+($D$31+$D$33+$D$34)*P17/$D$28)/G17)</f>
        <v/>
      </c>
      <c r="U17" s="23" t="n">
        <v>25000</v>
      </c>
      <c r="V17" s="6" t="inlineStr">
        <is>
          <t>ТР ТС 004 + ТР ТС 020 — декларация соответствия (для промышленных моделей обычно вместе с ТР ТС 010). Взрывозащищённое исполнение (ATEX / горючая пыль) — сертификат ТР ТС 012.</t>
        </is>
      </c>
      <c r="W17" s="14" t="inlineStr">
        <is>
          <t>средняя</t>
        </is>
      </c>
      <c r="X17" s="6" t="inlineStr">
        <is>
          <t>≤ 1500 Вт и ≤ 20 л — 8508 11 000 0 (5%); &gt; 2000 Вт или &gt; 30 л — 8508 19 000 9 (3%).</t>
        </is>
      </c>
    </row>
    <row r="18">
      <c r="A18" s="6" t="n">
        <v>19</v>
      </c>
      <c r="B18" s="6" t="inlineStr">
        <is>
          <t>Клининговое оборудование</t>
        </is>
      </c>
      <c r="C18" s="6" t="inlineStr">
        <is>
          <t>Телескопическая штанга с водоподачей (Water-Fed Pole)</t>
        </is>
      </c>
      <c r="D18" s="6" t="inlineStr">
        <is>
          <t>Мытьё остеклённых зон/фонарей крыши</t>
        </is>
      </c>
      <c r="E18" s="6" t="inlineStr">
        <is>
          <t>1–2 шт</t>
        </is>
      </c>
      <c r="F18" s="6" t="inlineStr">
        <is>
          <t>6–20 м</t>
        </is>
      </c>
      <c r="G18" s="22" t="n">
        <v>1</v>
      </c>
      <c r="H18" s="7" t="inlineStr">
        <is>
          <t>9603909100</t>
        </is>
      </c>
      <c r="I18" s="6" t="inlineStr">
        <is>
          <t>Щётки и швабры для дома/хозяйственные, щётки для уборки покрытий</t>
        </is>
      </c>
      <c r="J18" s="8" t="n">
        <v>0.1</v>
      </c>
      <c r="K18" s="9" t="n"/>
      <c r="L18" s="10" t="n"/>
      <c r="M18" s="11" t="n"/>
      <c r="N18" s="12">
        <f>IF(AND(ISNUMBER(G18),ISNUMBER(M18)),G18*M18,0)</f>
        <v/>
      </c>
      <c r="O18" s="12">
        <f>IF(SUM($N$6:$N$23)=0,0,N18/SUM($N$6:$N$23)*Параметры!$B$10)</f>
        <v/>
      </c>
      <c r="P18" s="13">
        <f>(N18+O18)*Параметры!$B$4</f>
        <v/>
      </c>
      <c r="Q18" s="13">
        <f>MAX(P18*N(J18),IF(AND(ISNUMBER(L18),ISNUMBER(G18)),G18*L18*N(K18)*Параметры!$B$5,0))</f>
        <v/>
      </c>
      <c r="R18" s="13">
        <f>(P18+Q18)*Параметры!$B$6</f>
        <v/>
      </c>
      <c r="S18" s="13">
        <f>Q18+R18</f>
        <v/>
      </c>
      <c r="T18" s="13">
        <f>IF(OR(N(G18)=0,P18=0),"",(P18+Q18+($D$31+$D$33+$D$34)*P18/$D$28)/G18)</f>
        <v/>
      </c>
      <c r="U18" s="23" t="n">
        <v>0</v>
      </c>
      <c r="V18" s="6" t="inlineStr">
        <is>
          <t>Не подпадает под техрегламенты ТР ТС/ЕАЭС — сертификат/декларация не нужны. По запросу брокера — отказное письмо органа по сертификации.</t>
        </is>
      </c>
      <c r="W18" s="15" t="inlineStr">
        <is>
          <t>низкая</t>
        </is>
      </c>
      <c r="X18" s="6" t="inlineStr">
        <is>
          <t>Штанга без щётки — по материалу (алюминий 7616, карбон/стекловолокно — по материалу). Установка деминерализации воды — отдельно, 8421 21 000 9.</t>
        </is>
      </c>
    </row>
    <row r="19">
      <c r="A19" s="6" t="n">
        <v>20</v>
      </c>
      <c r="B19" s="6" t="inlineStr">
        <is>
          <t>Клининговое оборудование</t>
        </is>
      </c>
      <c r="C19" s="6" t="inlineStr">
        <is>
          <t>Химия: обезжириватели, антикоррозийные составы</t>
        </is>
      </c>
      <c r="D19" s="6" t="inlineStr">
        <is>
          <t>По типу загрязнения (масло, копоть от сварки)</t>
        </is>
      </c>
      <c r="E19" s="6" t="inlineStr">
        <is>
          <t>По расходу</t>
        </is>
      </c>
      <c r="F19" s="6" t="inlineStr">
        <is>
          <t>Подбирается под материал поверхности</t>
        </is>
      </c>
      <c r="G19" s="22" t="n"/>
      <c r="H19" s="7" t="inlineStr">
        <is>
          <t>3402909000</t>
        </is>
      </c>
      <c r="I19" s="6" t="inlineStr">
        <is>
          <t>Моющие и чистящие средства</t>
        </is>
      </c>
      <c r="J19" s="8" t="n">
        <v>0.065</v>
      </c>
      <c r="K19" s="9" t="n"/>
      <c r="L19" s="10" t="n"/>
      <c r="M19" s="11" t="n"/>
      <c r="N19" s="12">
        <f>IF(AND(ISNUMBER(G19),ISNUMBER(M19)),G19*M19,0)</f>
        <v/>
      </c>
      <c r="O19" s="12">
        <f>IF(SUM($N$6:$N$23)=0,0,N19/SUM($N$6:$N$23)*Параметры!$B$10)</f>
        <v/>
      </c>
      <c r="P19" s="13">
        <f>(N19+O19)*Параметры!$B$4</f>
        <v/>
      </c>
      <c r="Q19" s="13">
        <f>MAX(P19*N(J19),IF(AND(ISNUMBER(L19),ISNUMBER(G19)),G19*L19*N(K19)*Параметры!$B$5,0))</f>
        <v/>
      </c>
      <c r="R19" s="13">
        <f>(P19+Q19)*Параметры!$B$6</f>
        <v/>
      </c>
      <c r="S19" s="13">
        <f>Q19+R19</f>
        <v/>
      </c>
      <c r="T19" s="13">
        <f>IF(OR(N(G19)=0,P19=0),"",(P19+Q19+($D$31+$D$33+$D$34)*P19/$D$28)/G19)</f>
        <v/>
      </c>
      <c r="U19" s="23" t="n">
        <v>20000</v>
      </c>
      <c r="V19" s="6" t="inlineStr">
        <is>
          <t>Бытовая химия — свидетельство о госрегистрации (СГР). Промышленная — паспорт безопасности (ГОСТ 30333-2022), ТУ/СТО, добровольная декларация. Проверить состав на прекурсоры и сильнодействующие вещества; перевозка — как опасный груз (ADR/IMDG). Статус ТР ЕАЭС 041 «О безопасности химической продукции» уточнить на дату ввоза.</t>
        </is>
      </c>
      <c r="W19" s="14" t="inlineStr">
        <is>
          <t>средняя</t>
        </is>
      </c>
      <c r="X19" s="6" t="inlineStr">
        <is>
          <t>Антикоррозийные составы — 3403 99 / 3824 99 (отдельная строка в ДТ); растворители без ПАВ — 3814.</t>
        </is>
      </c>
    </row>
    <row r="20">
      <c r="A20" s="5" t="inlineStr">
        <is>
          <t>Электрооборудование и питание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>
      <c r="A21" s="6" t="n">
        <v>21</v>
      </c>
      <c r="B21" s="6" t="inlineStr">
        <is>
          <t>Электрооборудование и питание</t>
        </is>
      </c>
      <c r="C21" s="6" t="inlineStr">
        <is>
          <t>Удлинители промышленные на катушках</t>
        </is>
      </c>
      <c r="D21" s="6" t="inlineStr">
        <is>
          <t>Питание техники по цеху</t>
        </is>
      </c>
      <c r="E21" s="6" t="inlineStr">
        <is>
          <t>3–5 шт</t>
        </is>
      </c>
      <c r="F21" s="6" t="inlineStr">
        <is>
          <t>IP44/IP54</t>
        </is>
      </c>
      <c r="G21" s="22" t="n">
        <v>3</v>
      </c>
      <c r="H21" s="7" t="inlineStr">
        <is>
          <t>8544429009</t>
        </is>
      </c>
      <c r="I21" s="6" t="inlineStr">
        <is>
          <t>Проводники электрические ≤ 1000 В с соединительными приспособлениями, прочие</t>
        </is>
      </c>
      <c r="J21" s="8" t="n">
        <v>0.05</v>
      </c>
      <c r="K21" s="9" t="n"/>
      <c r="L21" s="10" t="n"/>
      <c r="M21" s="11" t="n"/>
      <c r="N21" s="12">
        <f>IF(AND(ISNUMBER(G21),ISNUMBER(M21)),G21*M21,0)</f>
        <v/>
      </c>
      <c r="O21" s="12">
        <f>IF(SUM($N$6:$N$23)=0,0,N21/SUM($N$6:$N$23)*Параметры!$B$10)</f>
        <v/>
      </c>
      <c r="P21" s="13">
        <f>(N21+O21)*Параметры!$B$4</f>
        <v/>
      </c>
      <c r="Q21" s="13">
        <f>MAX(P21*N(J21),IF(AND(ISNUMBER(L21),ISNUMBER(G21)),G21*L21*N(K21)*Параметры!$B$5,0))</f>
        <v/>
      </c>
      <c r="R21" s="13">
        <f>(P21+Q21)*Параметры!$B$6</f>
        <v/>
      </c>
      <c r="S21" s="13">
        <f>Q21+R21</f>
        <v/>
      </c>
      <c r="T21" s="13">
        <f>IF(OR(N(G21)=0,P21=0),"",(P21+Q21+($D$31+$D$33+$D$34)*P21/$D$28)/G21)</f>
        <v/>
      </c>
      <c r="U21" s="23" t="n">
        <v>30000</v>
      </c>
      <c r="V21" s="6" t="inlineStr">
        <is>
          <t>ТР ТС 004 — сертификат соответствия; ТР ТС 020 — при наличии электронных компонентов.</t>
        </is>
      </c>
      <c r="W21" s="14" t="inlineStr">
        <is>
          <t>высокая</t>
        </is>
      </c>
      <c r="X21" s="6" t="inlineStr"/>
    </row>
    <row r="22">
      <c r="A22" s="6" t="n">
        <v>22</v>
      </c>
      <c r="B22" s="6" t="inlineStr">
        <is>
          <t>Электрооборудование и питание</t>
        </is>
      </c>
      <c r="C22" s="6" t="inlineStr">
        <is>
          <t>Подключение к сети цеха / генератор</t>
        </is>
      </c>
      <c r="D22" s="6" t="inlineStr">
        <is>
          <t>Резерв при недостатке розеток</t>
        </is>
      </c>
      <c r="E22" s="6" t="inlineStr">
        <is>
          <t>1 компл.</t>
        </is>
      </c>
      <c r="F22" s="6" t="inlineStr">
        <is>
          <t>Предпочтительно сеть цеха, не ДВС</t>
        </is>
      </c>
      <c r="G22" s="22" t="n"/>
      <c r="H22" s="7" t="inlineStr">
        <is>
          <t>8502112000</t>
        </is>
      </c>
      <c r="I22" s="6" t="inlineStr">
        <is>
          <t>Электрогенераторные установки дизельные ≤ 7,5 кВА</t>
        </is>
      </c>
      <c r="J22" s="8" t="n"/>
      <c r="K22" s="9" t="n"/>
      <c r="L22" s="10" t="n"/>
      <c r="M22" s="11" t="n"/>
      <c r="N22" s="12">
        <f>IF(AND(ISNUMBER(G22),ISNUMBER(M22)),G22*M22,0)</f>
        <v/>
      </c>
      <c r="O22" s="12">
        <f>IF(SUM($N$6:$N$23)=0,0,N22/SUM($N$6:$N$23)*Параметры!$B$10)</f>
        <v/>
      </c>
      <c r="P22" s="13">
        <f>(N22+O22)*Параметры!$B$4</f>
        <v/>
      </c>
      <c r="Q22" s="13">
        <f>MAX(P22*N(J22),IF(AND(ISNUMBER(L22),ISNUMBER(G22)),G22*L22*N(K22)*Параметры!$B$5,0))</f>
        <v/>
      </c>
      <c r="R22" s="13">
        <f>(P22+Q22)*Параметры!$B$6</f>
        <v/>
      </c>
      <c r="S22" s="13">
        <f>Q22+R22</f>
        <v/>
      </c>
      <c r="T22" s="13">
        <f>IF(OR(N(G22)=0,P22=0),"",(P22+Q22+($D$31+$D$33+$D$34)*P22/$D$28)/G22)</f>
        <v/>
      </c>
      <c r="U22" s="23" t="n">
        <v>25000</v>
      </c>
      <c r="V22" s="6" t="inlineStr">
        <is>
          <t>ТР ТС 010 + ТР ТС 004 + ТР ТС 020 — декларация соответствия.</t>
        </is>
      </c>
      <c r="W22" s="15" t="inlineStr">
        <is>
          <t>низкая</t>
        </is>
      </c>
      <c r="X22" s="6" t="inlineStr">
        <is>
          <t>Ставка пошлины: НЕ УСТАНОВЛЕНА — сверить. Нужна конкретика: бензиновый ≤ 7,5 кВА — 8502 20 200 0; аккумуляторная станция — 8507 60 / 8504 40. Ставку уточнить.</t>
        </is>
      </c>
    </row>
    <row r="23">
      <c r="A23" s="6" t="n">
        <v>23</v>
      </c>
      <c r="B23" s="6" t="inlineStr">
        <is>
          <t>Электрооборудование и питание</t>
        </is>
      </c>
      <c r="C23" s="6" t="inlineStr">
        <is>
          <t>Аккумуляторные инструменты</t>
        </is>
      </c>
      <c r="D23" s="6" t="inlineStr">
        <is>
          <t>Там, где кабель мешает работе</t>
        </is>
      </c>
      <c r="E23" s="6" t="inlineStr">
        <is>
          <t>По потребности</t>
        </is>
      </c>
      <c r="F23" s="6" t="inlineStr">
        <is>
          <t>Мини-мойки, шуруповёрты</t>
        </is>
      </c>
      <c r="G23" s="22" t="n"/>
      <c r="H23" s="7" t="inlineStr">
        <is>
          <t>8467211000</t>
        </is>
      </c>
      <c r="I23" s="6" t="inlineStr">
        <is>
          <t>Дрели и шуруповёрты аккумуляторные</t>
        </is>
      </c>
      <c r="J23" s="8" t="n">
        <v>0.08500000000000001</v>
      </c>
      <c r="K23" s="9" t="n"/>
      <c r="L23" s="10" t="n"/>
      <c r="M23" s="11" t="n"/>
      <c r="N23" s="12">
        <f>IF(AND(ISNUMBER(G23),ISNUMBER(M23)),G23*M23,0)</f>
        <v/>
      </c>
      <c r="O23" s="12">
        <f>IF(SUM($N$6:$N$23)=0,0,N23/SUM($N$6:$N$23)*Параметры!$B$10)</f>
        <v/>
      </c>
      <c r="P23" s="13">
        <f>(N23+O23)*Параметры!$B$4</f>
        <v/>
      </c>
      <c r="Q23" s="13">
        <f>MAX(P23*N(J23),IF(AND(ISNUMBER(L23),ISNUMBER(G23)),G23*L23*N(K23)*Параметры!$B$5,0))</f>
        <v/>
      </c>
      <c r="R23" s="13">
        <f>(P23+Q23)*Параметры!$B$6</f>
        <v/>
      </c>
      <c r="S23" s="13">
        <f>Q23+R23</f>
        <v/>
      </c>
      <c r="T23" s="13">
        <f>IF(OR(N(G23)=0,P23=0),"",(P23+Q23+($D$31+$D$33+$D$34)*P23/$D$28)/G23)</f>
        <v/>
      </c>
      <c r="U23" s="23" t="n">
        <v>35000</v>
      </c>
      <c r="V23" s="6" t="inlineStr">
        <is>
          <t>ТР ТС 004 + ТР ТС 020 — сертификат соответствия (электроинструмент); ТР ЕАЭС 037 (RoHS) — декларация.</t>
        </is>
      </c>
      <c r="W23" s="14" t="inlineStr">
        <is>
          <t>высокая</t>
        </is>
      </c>
      <c r="X23" s="6" t="inlineStr">
        <is>
          <t>Аккумуляторные мини-мойки — 8424 30 080 0; прочий инструмент — по виду.</t>
        </is>
      </c>
    </row>
    <row r="26">
      <c r="B26" s="16" t="inlineStr">
        <is>
          <t>ИТОГО ПО ПАРТИИ (одна декларация на товары)</t>
        </is>
      </c>
    </row>
    <row r="27">
      <c r="B27" s="17" t="inlineStr">
        <is>
          <t>Стоимость по инвойсу, USD</t>
        </is>
      </c>
      <c r="D27" s="18">
        <f>SUM(N6:N23)</f>
        <v/>
      </c>
    </row>
    <row r="28">
      <c r="B28" s="17" t="inlineStr">
        <is>
          <t>Таможенная стоимость, ₽</t>
        </is>
      </c>
      <c r="D28" s="19">
        <f>SUM(P6:P23)</f>
        <v/>
      </c>
    </row>
    <row r="29">
      <c r="B29" s="17" t="inlineStr">
        <is>
          <t>Ввозная пошлина, ₽</t>
        </is>
      </c>
      <c r="D29" s="19">
        <f>SUM(Q6:Q23)</f>
        <v/>
      </c>
    </row>
    <row r="30">
      <c r="B30" s="17" t="inlineStr">
        <is>
          <t>НДС 22% при ввозе, ₽</t>
        </is>
      </c>
      <c r="D30" s="19">
        <f>SUM(R6:R23)</f>
        <v/>
      </c>
    </row>
    <row r="31">
      <c r="B31" s="17" t="inlineStr">
        <is>
          <t>Таможенный сбор, ₽</t>
        </is>
      </c>
      <c r="D31" s="19">
        <f>IF(D28=0,0,LOOKUP(D28,Параметры!$E$5:$E$12,Параметры!$G$5:$G$12))</f>
        <v/>
      </c>
    </row>
    <row r="32">
      <c r="B32" s="16" t="inlineStr">
        <is>
          <t>ИТОГО платежей на таможне, ₽</t>
        </is>
      </c>
      <c r="D32" s="20">
        <f>D29+D30+D31</f>
        <v/>
      </c>
    </row>
    <row r="33">
      <c r="B33" s="17" t="inlineStr">
        <is>
          <t>Брокер (ДТ + доп. коды), ₽</t>
        </is>
      </c>
      <c r="D33" s="19">
        <f>Параметры!$B$12+MAX(0,D36-Параметры!$B$14)*Параметры!$B$13</f>
        <v/>
      </c>
    </row>
    <row r="34">
      <c r="B34" s="17" t="inlineStr">
        <is>
          <t>Разрешительные документы (оценка), ₽</t>
        </is>
      </c>
      <c r="D34" s="19">
        <f>SUM(U6:U23)</f>
        <v/>
      </c>
    </row>
    <row r="35">
      <c r="B35" s="16" t="inlineStr">
        <is>
          <t>ВСЕГО расходов на растаможку, ₽</t>
        </is>
      </c>
      <c r="D35" s="20">
        <f>D32+D33+D34</f>
        <v/>
      </c>
    </row>
    <row r="36">
      <c r="B36" s="17" t="inlineStr">
        <is>
          <t>Разных кодов ТН ВЭД в партии</t>
        </is>
      </c>
      <c r="D36" s="21" t="n">
        <v>12</v>
      </c>
    </row>
    <row r="37">
      <c r="B37" s="17" t="inlineStr">
        <is>
          <t>в т. ч. НДС к вычету (при ОСНО), ₽</t>
        </is>
      </c>
      <c r="D37" s="19">
        <f>D30</f>
        <v/>
      </c>
    </row>
    <row r="38">
      <c r="B38" s="17" t="inlineStr">
        <is>
          <t>Себестоимость партии на складе без НДС (без доставки по РФ), ₽</t>
        </is>
      </c>
      <c r="D38" s="19">
        <f>D28+D29+D31+D33+D34</f>
        <v/>
      </c>
    </row>
  </sheetData>
  <mergeCells count="13">
    <mergeCell ref="B30:C30"/>
    <mergeCell ref="B38:C38"/>
    <mergeCell ref="B29:C29"/>
    <mergeCell ref="B33:C33"/>
    <mergeCell ref="B34:C34"/>
    <mergeCell ref="B37:C37"/>
    <mergeCell ref="B28:C28"/>
    <mergeCell ref="B36:C36"/>
    <mergeCell ref="B32:C32"/>
    <mergeCell ref="B31:C31"/>
    <mergeCell ref="B27:C27"/>
    <mergeCell ref="A3:L3"/>
    <mergeCell ref="B35:C3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70" customWidth="1" min="3" max="3"/>
    <col width="16" customWidth="1" min="5" max="5"/>
    <col width="16" customWidth="1" min="6" max="6"/>
    <col width="12" customWidth="1" min="7" max="7"/>
  </cols>
  <sheetData>
    <row r="1">
      <c r="A1" s="1" t="inlineStr">
        <is>
          <t>Параметры расчёта (РФ, 2026)</t>
        </is>
      </c>
    </row>
    <row r="2">
      <c r="A2" s="2" t="inlineStr">
        <is>
          <t>Жёлтые ячейки с синим шрифтом — вводные, меняйте их. Остальное считается формулами.</t>
        </is>
      </c>
    </row>
    <row r="3">
      <c r="E3" s="16" t="inlineStr">
        <is>
          <t>Таможенный сбор за выпуск (ПП РФ № 1637, ред. с 01.01.2026)</t>
        </is>
      </c>
    </row>
    <row r="4">
      <c r="A4" s="17" t="inlineStr">
        <is>
          <t>Курс USD, ₽ (ЦБ РФ на дату регистрации ДТ)</t>
        </is>
      </c>
      <c r="B4" s="24" t="n">
        <v>82</v>
      </c>
      <c r="C4" s="2" t="inlineStr">
        <is>
          <t>Заглушка — подставьте курс ЦБ на дату подачи декларации.</t>
        </is>
      </c>
      <c r="E4" s="25" t="inlineStr">
        <is>
          <t>ТС от, ₽</t>
        </is>
      </c>
      <c r="F4" s="25" t="inlineStr">
        <is>
          <t>ТС до, ₽</t>
        </is>
      </c>
      <c r="G4" s="25" t="inlineStr">
        <is>
          <t>Сбор, ₽</t>
        </is>
      </c>
    </row>
    <row r="5">
      <c r="A5" s="17" t="inlineStr">
        <is>
          <t>Курс EUR, ₽ (для специфических пошлин в €/кг)</t>
        </is>
      </c>
      <c r="B5" s="24" t="n">
        <v>95</v>
      </c>
      <c r="C5" s="2" t="inlineStr">
        <is>
          <t>Заглушка — подставьте курс ЦБ.</t>
        </is>
      </c>
      <c r="E5" s="26" t="n">
        <v>0</v>
      </c>
      <c r="F5" s="26" t="n">
        <v>200000</v>
      </c>
      <c r="G5" s="19" t="n">
        <v>1231</v>
      </c>
    </row>
    <row r="6">
      <c r="A6" s="17" t="inlineStr">
        <is>
          <t>Ставка НДС при ввозе</t>
        </is>
      </c>
      <c r="B6" s="27" t="n">
        <v>0.22</v>
      </c>
      <c r="C6" s="2" t="inlineStr">
        <is>
          <t>Ст. 164 НК РФ в ред. 425-ФЗ: 22% с 01.01.2026. База = таможенная стоимость + пошлина (+ акциз).</t>
        </is>
      </c>
      <c r="E6" s="26" t="n">
        <v>200000.01</v>
      </c>
      <c r="F6" s="26" t="n">
        <v>450000</v>
      </c>
      <c r="G6" s="19" t="n">
        <v>2462</v>
      </c>
    </row>
    <row r="7">
      <c r="A7" s="17" t="inlineStr">
        <is>
          <t>Валюта цен поставщика</t>
        </is>
      </c>
      <c r="B7" s="28" t="inlineStr">
        <is>
          <t>USD</t>
        </is>
      </c>
      <c r="C7" s="2" t="inlineStr">
        <is>
          <t>Цены в листах вводятся в этой валюте (для CNY поменяйте курс в B4 на курс юаня).</t>
        </is>
      </c>
      <c r="E7" s="26" t="n">
        <v>450000.01</v>
      </c>
      <c r="F7" s="26" t="n">
        <v>1200000</v>
      </c>
      <c r="G7" s="19" t="n">
        <v>4924</v>
      </c>
    </row>
    <row r="8">
      <c r="E8" s="26" t="n">
        <v>1200000.01</v>
      </c>
      <c r="F8" s="26" t="n">
        <v>2700000</v>
      </c>
      <c r="G8" s="19" t="n">
        <v>13541</v>
      </c>
    </row>
    <row r="9">
      <c r="A9" s="17" t="inlineStr">
        <is>
          <t>Доставка + страховка до границы ЕАЭС — партия Vileda, USD</t>
        </is>
      </c>
      <c r="B9" s="29" t="n">
        <v>0</v>
      </c>
      <c r="C9" s="2" t="inlineStr">
        <is>
          <t>Входит в таможенную стоимость; распределяется по позициям пропорционально стоимости.</t>
        </is>
      </c>
      <c r="E9" s="26" t="n">
        <v>2700000.01</v>
      </c>
      <c r="F9" s="26" t="n">
        <v>4200000</v>
      </c>
      <c r="G9" s="19" t="n">
        <v>18465</v>
      </c>
    </row>
    <row r="10">
      <c r="A10" s="17" t="inlineStr">
        <is>
          <t>Доставка + страховка до границы ЕАЭС — партия Оборудование, USD</t>
        </is>
      </c>
      <c r="B10" s="29" t="n">
        <v>0</v>
      </c>
      <c r="C10" s="2" t="inlineStr">
        <is>
          <t>То же.</t>
        </is>
      </c>
      <c r="E10" s="26" t="n">
        <v>4200000.01</v>
      </c>
      <c r="F10" s="26" t="n">
        <v>5500000</v>
      </c>
      <c r="G10" s="19" t="n">
        <v>24620</v>
      </c>
    </row>
    <row r="11">
      <c r="E11" s="26" t="n">
        <v>5500000.01</v>
      </c>
      <c r="F11" s="26" t="n">
        <v>10000000</v>
      </c>
      <c r="G11" s="19" t="n">
        <v>49240</v>
      </c>
    </row>
    <row r="12">
      <c r="A12" s="17" t="inlineStr">
        <is>
          <t>Брокер: оформление одной ДТ, ₽</t>
        </is>
      </c>
      <c r="B12" s="30" t="n">
        <v>25000</v>
      </c>
      <c r="C12" s="2" t="inlineStr">
        <is>
          <t>Рыночная оценка 15–35 тыс. ₽ (Москва/СПб, 2026). Уточните у своего брокера.</t>
        </is>
      </c>
      <c r="E12" s="26" t="n">
        <v>10000000.01</v>
      </c>
      <c r="F12" s="26" t="inlineStr">
        <is>
          <t>и выше</t>
        </is>
      </c>
      <c r="G12" s="19" t="n">
        <v>73860</v>
      </c>
    </row>
    <row r="13">
      <c r="A13" s="17" t="inlineStr">
        <is>
          <t>Брокер: доплата за каждый код сверх включённых, ₽</t>
        </is>
      </c>
      <c r="B13" s="30" t="n">
        <v>1000</v>
      </c>
      <c r="C13" s="2" t="inlineStr">
        <is>
          <t>Типично 500–1500 ₽ за доп. код.</t>
        </is>
      </c>
    </row>
    <row r="14">
      <c r="A14" s="17" t="inlineStr">
        <is>
          <t>Кодов ТН ВЭД, включённых в базовую цену ДТ</t>
        </is>
      </c>
      <c r="B14" s="21" t="n">
        <v>5</v>
      </c>
      <c r="C14" s="2" t="inlineStr"/>
      <c r="E14" s="2" t="inlineStr">
        <is>
          <t>Сбор взимается за каждую декларацию (ДТ) по суммарной таможенной стоимости товаров в ней.</t>
        </is>
      </c>
    </row>
    <row r="15">
      <c r="A15" s="17" t="inlineStr">
        <is>
          <t>Документы по партии Vileda (отказные письма и т. п.), ₽</t>
        </is>
      </c>
      <c r="B15" s="30" t="n">
        <v>10000</v>
      </c>
      <c r="C15" s="2" t="inlineStr">
        <is>
          <t>Оценка: отказное письмо 2–5 тыс. ₽ на группу товаров.</t>
        </is>
      </c>
    </row>
    <row r="18">
      <c r="A18" s="16" t="inlineStr">
        <is>
          <t>Формулы, по которым считаются листы</t>
        </is>
      </c>
    </row>
    <row r="19">
      <c r="A19" s="17" t="inlineStr">
        <is>
          <t>• Таможенная стоимость (ТС) = (цена × кол-во + доля доставки до границы) × курс</t>
        </is>
      </c>
    </row>
    <row r="20">
      <c r="A20" s="17" t="inlineStr">
        <is>
          <t>• Пошлина = MAX(ТС × ставка %, вес нетто × ставка €/кг × курс EUR) — для комбинированных ставок «X%, но не менее Y €/кг»</t>
        </is>
      </c>
    </row>
    <row r="21">
      <c r="A21" s="17" t="inlineStr">
        <is>
          <t>• НДС = (ТС + пошлина) × 22%. Таможенный сбор в базу НДС не входит</t>
        </is>
      </c>
    </row>
    <row r="22">
      <c r="A22" s="17" t="inlineStr">
        <is>
          <t>• На ОСНО ввозной НДС принимается к вычету; на УСН — включается в себестоимость</t>
        </is>
      </c>
    </row>
    <row r="23">
      <c r="A23" s="17" t="inlineStr">
        <is>
          <t>• Себестоимость ед. без НДС = (ТС + пошлина + доля сбора, брокера и документов) / кол-во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Сертификаты, лицензии и риски при ввозе из Китая</t>
        </is>
      </c>
    </row>
    <row r="3">
      <c r="A3" s="31" t="inlineStr">
        <is>
          <t>Лицензии</t>
        </is>
      </c>
      <c r="B3" s="6" t="inlineStr">
        <is>
          <t>Лицензии Минпромторга на эти товары НЕ нужны: они не входят в перечни ограниченных к ввозу (Решение Коллегии ЕЭК № 30), товаров двойного назначения нет. Разрешительные документы — только техрегламенты ЕАЭС (см. колонку «Разрешительные документы»).</t>
        </is>
      </c>
    </row>
    <row r="4">
      <c r="A4" s="31" t="inlineStr">
        <is>
          <t>Сертификаты — итог</t>
        </is>
      </c>
      <c r="B4" s="6" t="inlineStr">
        <is>
          <t>Vileda (инвентарь): сертификация не требуется, достаточно отказных писем; исключение — Windomatic (электроприбор, ТР ТС 004/020/037). Оборудование: подъёмники — сертификат ТР ТС 010; пылесосы, мойки, аппараты — декларации ТР ТС 004/020/010; удлинители и электроинструмент — сертификаты ТР ТС 004; химия — СГР или паспорт безопасности. Документы оформляются на заявителя-резидента ЕАЭС (ваше юрлицо или аккредитованного представителя) до подачи ДТ.</t>
        </is>
      </c>
    </row>
    <row r="5">
      <c r="A5" s="31" t="inlineStr">
        <is>
          <t>Товарный знак Vileda</t>
        </is>
      </c>
      <c r="B5" s="6" t="inlineStr">
        <is>
          <t>Vileda — товарный знак Freudenberg. Проверьте его в Таможенном реестре объектов интеллектуальной собственности (ТРОИС ФТС). При закупке «Vileda» у китайских продавцов высок риск контрафакта: таможня может приостановить выпуск на 10 раб. дней, правообладатель может потребовать уничтожения. Нужны документы о происхождении у официального дистрибьютора, либо закупайте аналоги без бренда.</t>
        </is>
      </c>
    </row>
    <row r="6">
      <c r="A6" s="31" t="inlineStr">
        <is>
          <t>Санкции</t>
        </is>
      </c>
      <c r="B6" s="6" t="inlineStr">
        <is>
          <t>Genie, JLG (США), Haulotte (Франция), Teupen (Германия), Hinowa (Италия) — поставки в РФ ограничены санкциями. Серый ввоз через Китай — риск по гарантии, запчастям и блокировке платежей. Китайские аналоги: Dingli, Sinoboom, LGMG, XCMG, Zoomlion (есть сервис в РФ).</t>
        </is>
      </c>
    </row>
    <row r="7">
      <c r="A7" s="31" t="inlineStr">
        <is>
          <t>Самоходная техника</t>
        </is>
      </c>
      <c r="B7" s="6" t="inlineStr">
        <is>
          <t>Самоходные подъёмники: ЭПСМ, регистрация в Гостехнадзоре, проверка утилизационного сбора (ПП РФ № 81; суммы существенные — уточнить до контракта). Если сбор применяется — он платится до выпуска и может сильно превысить пошлину (0%).</t>
        </is>
      </c>
    </row>
    <row r="8">
      <c r="A8" s="31" t="inlineStr">
        <is>
          <t>Преференции</t>
        </is>
      </c>
      <c r="B8" s="6" t="inlineStr">
        <is>
          <t>Китай исключён из системы тарифных преференций ЕАЭС (с 12.10.2021) — применяются полные ставки ЕТТ, сертификат происхождения формы A не снижает пошлину.</t>
        </is>
      </c>
    </row>
    <row r="9">
      <c r="A9" s="31" t="inlineStr">
        <is>
          <t>НДС</t>
        </is>
      </c>
      <c r="B9" s="6" t="inlineStr">
        <is>
          <t>22% с 01.01.2026 (425-ФЗ). На ОСНО — к вычету после выпуска; на УСН ввозной НДС платится, но идёт в себестоимость.</t>
        </is>
      </c>
    </row>
    <row r="10">
      <c r="A10" s="31" t="inlineStr">
        <is>
          <t>Таможенная стоимость</t>
        </is>
      </c>
      <c r="B10" s="6" t="inlineStr">
        <is>
          <t>Риск корректировки таможенной стоимости (КТС), если цена ниже профиля риска ФТС. Нужны контракт, инвойс, упаковочный лист, транспортные документы, платёжки, прайс-лист/коммерческое предложение производителя, спецификации с весом нетто по каждой позиции.</t>
        </is>
      </c>
    </row>
    <row r="11">
      <c r="A11" s="31" t="inlineStr">
        <is>
          <t>Валютный контроль</t>
        </is>
      </c>
      <c r="B11" s="6" t="inlineStr">
        <is>
          <t>Импортный контракт на сумму ≥ 3 млн ₽ ставится на учёт в уполномоченном банке (Инструкция ЦБ № 181-И).</t>
        </is>
      </c>
    </row>
    <row r="12">
      <c r="A12" s="31" t="inlineStr">
        <is>
          <t>Спорные коды</t>
        </is>
      </c>
      <c r="B12" s="6" t="inlineStr">
        <is>
          <t>Низкая уверенность: магнитная щётка-подметалка, штанга с водоподачей, генератор. Для них можно запросить предварительное решение ФТС о классификации (бесплатно, срок до 90 дней) или согласовать код с брокером до отгрузки.</t>
        </is>
      </c>
    </row>
    <row r="13">
      <c r="A13" s="31" t="inlineStr">
        <is>
          <t>Специфические пошлины</t>
        </is>
      </c>
      <c r="B13" s="6" t="inlineStr">
        <is>
          <t>На микрофибру (6307 10 100 0) пошлина — 0,61 €/кг, на прочие и нетканые тряпки — 13%, но не менее 0,46 €/кг. Для расчёта обязательно запросите у поставщика вес нетто по каждой позиции.</t>
        </is>
      </c>
    </row>
    <row r="14">
      <c r="A14" s="31" t="inlineStr">
        <is>
          <t>Опасные грузы</t>
        </is>
      </c>
      <c r="B14" s="6" t="inlineStr">
        <is>
          <t>Химия (обезжириватели), Li-ion аккумуляторы (инструмент, Windomatic, тяговые АКБ подъёмников) — перевозка как опасный груз: нужен MSDS, влияет на стоимость фрахта.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Источники и оговорки</t>
        </is>
      </c>
    </row>
    <row r="3">
      <c r="A3" s="32" t="inlineStr">
        <is>
          <t>1. Коды подобраны по текстам позиций ТН ВЭД ЕАЭС и Пояснениям к ТН ВЭД по описанию товаров из заявок, без спецификаций и фото. Окончательный код в ДТ определяет декларант (брокер).</t>
        </is>
      </c>
    </row>
    <row r="4">
      <c r="A4" s="32" t="inlineStr">
        <is>
          <t>2. Ставки пошлин — ЕТТ ЕАЭС (Решение Совета ЕЭК № 80 от 14.09.2021 в действ. ред.) по данным открытых справочников (Альта-Софт, IFCG, TKS, kodtnved.ru), сверены через поиск в сентябре 2026. Прямой доступ к базам из среды расчёта был закрыт — перед подачей ДТ сверьте каждую ставку.</t>
        </is>
      </c>
    </row>
    <row r="5">
      <c r="A5" s="32" t="inlineStr">
        <is>
          <t>3. НДС 22% — Федеральный закон № 425-ФЗ (с 01.01.2026).</t>
        </is>
      </c>
    </row>
    <row r="6">
      <c r="A6" s="32" t="inlineStr">
        <is>
          <t>4. Таможенные сборы — ПП РФ от 28.11.2024 № 1637 (ставки с 01.01.2026).</t>
        </is>
      </c>
    </row>
    <row r="7">
      <c r="A7" s="32" t="inlineStr">
        <is>
          <t>5. Техрегламенты: ТР ТС 004/2011 (низковольтное оборудование), 010/2011 (машины и оборудование), 012/2011 (взрывозащита), 017/2011 (лёгкая промышленность), 020/2011 (ЭМС), ТР ЕАЭС 037/2016 (RoHS), ТР ЕАЭС 041/2017 (химическая продукция).</t>
        </is>
      </c>
    </row>
    <row r="8">
      <c r="A8" s="32" t="inlineStr">
        <is>
          <t>6. Стоимость брокера и сертификации — рыночные оценки, не прайс конкретного исполнителя.</t>
        </is>
      </c>
    </row>
    <row r="9">
      <c r="A9" s="32" t="inlineStr">
        <is>
          <t>7. Курсы валют в «Параметрах» — заглушки, подставьте курс ЦБ РФ.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  <col width="12" customWidth="1" min="3" max="3"/>
  </cols>
  <sheetData>
    <row r="1">
      <c r="A1" s="1" t="inlineStr">
        <is>
          <t>Что сделать до заказа (прямой импорт Китай → РФ, 2026)</t>
        </is>
      </c>
    </row>
    <row r="2">
      <c r="A2" s="2" t="inlineStr">
        <is>
          <t>Отмечайте выполнение в колонке «Статус». Порядок шагов — рекомендуемый.</t>
        </is>
      </c>
    </row>
    <row r="4">
      <c r="A4" s="25" t="inlineStr">
        <is>
          <t>Этап</t>
        </is>
      </c>
      <c r="B4" s="25" t="inlineStr">
        <is>
          <t>Что сделать</t>
        </is>
      </c>
      <c r="C4" s="25" t="inlineStr">
        <is>
          <t>Статус</t>
        </is>
      </c>
    </row>
    <row r="5">
      <c r="A5" s="6" t="inlineStr">
        <is>
          <t>1. Схема</t>
        </is>
      </c>
      <c r="B5" s="6" t="inlineStr">
        <is>
          <t>Выбрать схему: (а) свой контракт + свой валютный счёт + брокер — дешевле, всё под контролем; (б) ВЭД-агент «под ключ» — вы платите рублями агенту, он сам контрактует и оплачивает Китай (+3–7% к стоимости, быстрее старт); (в) купить у российского импортёра. Для регулярных закупок — схема (а).</t>
        </is>
      </c>
      <c r="C5" s="22" t="inlineStr"/>
    </row>
    <row r="6">
      <c r="A6" s="6" t="inlineStr">
        <is>
          <t>1. Схема</t>
        </is>
      </c>
      <c r="B6" s="6" t="inlineStr">
        <is>
          <t>Не брать товар, растаможенный в Казахстане/Киргизии/Армении: с 01.06.2026 такой ввоз идёт через СПОТ (уведомление ФНС, QR-код, обеспечительный платёж НДС до ввоза). Прямой ввоз из Китая с растаможкой в РФ и транзит через Казахстан под таможенным транзитом под СПОТ не подпадают.</t>
        </is>
      </c>
      <c r="C6" s="22" t="inlineStr"/>
    </row>
    <row r="7">
      <c r="A7" s="6" t="inlineStr">
        <is>
          <t>2. Поставщик</t>
        </is>
      </c>
      <c r="B7" s="6" t="inlineStr">
        <is>
          <t>Проверить поставщика: бизнес-лицензия (qcc.com / gsxt.gov.cn), завод или трейдер, опыт работы с РФ, готовность отгружать в РФ. По Vileda — подтверждение легальности товарного знака; по Genie/JLG/Haulotte — санкционный риск, рассмотреть Dingli/Sinoboom/LGMG/XCMG.</t>
        </is>
      </c>
      <c r="C7" s="22" t="inlineStr"/>
    </row>
    <row r="8">
      <c r="A8" s="6" t="inlineStr">
        <is>
          <t>2. Поставщик</t>
        </is>
      </c>
      <c r="B8" s="6" t="inlineStr">
        <is>
          <t>Получить спецификации по каждой позиции: состав/материал, вес нетто и брутто, габариты, фото, паспорта, мощность/напряжение, тип АКБ, MSDS на химию и аккумуляторы. Без веса нетто не посчитать пошлину на микрофибру.</t>
        </is>
      </c>
      <c r="C8" s="22" t="inlineStr"/>
    </row>
    <row r="9">
      <c r="A9" s="6" t="inlineStr">
        <is>
          <t>2. Поставщик</t>
        </is>
      </c>
      <c r="B9" s="6" t="inlineStr">
        <is>
          <t>Заранее спросить: в каком банке счёт поставщика и принимает ли он платежи из РФ в юанях (CNY). Крупные госбанки КНР часто отклоняют; региональные банки и счета в спецрайонах — лучше.</t>
        </is>
      </c>
      <c r="C9" s="22" t="inlineStr"/>
    </row>
    <row r="10">
      <c r="A10" s="6" t="inlineStr">
        <is>
          <t>3. Брокер</t>
        </is>
      </c>
      <c r="B10" s="6" t="inlineStr">
        <is>
          <t>Выбрать таможенного представителя из реестра ФТС, согласовать коды ТН ВЭД и ставки по этой таблице ДО отгрузки, стоимость (ДТ + доп. коды), пункт оформления (ближе к вашему складу).</t>
        </is>
      </c>
      <c r="C10" s="22" t="inlineStr"/>
    </row>
    <row r="11">
      <c r="A11" s="6" t="inlineStr">
        <is>
          <t>3. Брокер</t>
        </is>
      </c>
      <c r="B11" s="6" t="inlineStr">
        <is>
          <t>Спорные коды — предварительное решение ФТС (до 90 дней) или письменное подтверждение брокера.</t>
        </is>
      </c>
      <c r="C11" s="22" t="inlineStr"/>
    </row>
    <row r="12">
      <c r="A12" s="6" t="inlineStr">
        <is>
          <t>4. Документы</t>
        </is>
      </c>
      <c r="B12" s="6" t="inlineStr">
        <is>
          <t>Оформить сертификаты/декларации ЕАЭС ДО прибытия товара (заявитель — ваше юрлицо). Для ТР ТС 004/020 нужны протоколы испытаний — возможно, образцы. Отказные письма на инвентарь Vileda. Проверить «Честный знак» для кода 6307.</t>
        </is>
      </c>
      <c r="C12" s="22" t="inlineStr"/>
    </row>
    <row r="13">
      <c r="A13" s="6" t="inlineStr">
        <is>
          <t>4. Документы</t>
        </is>
      </c>
      <c r="B13" s="6" t="inlineStr">
        <is>
          <t>Маркировка на упаковке: знак EAC (для сертифицированных), информация на русском языке (наименование, изготовитель, импортёр) — передать макет поставщику до производства.</t>
        </is>
      </c>
      <c r="C13" s="22" t="inlineStr"/>
    </row>
    <row r="14">
      <c r="A14" s="6" t="inlineStr">
        <is>
          <t>5. Контракт</t>
        </is>
      </c>
      <c r="B14" s="6" t="inlineStr">
        <is>
          <t>Внешнеторговый контракт в юанях (CNY) — расчёты в USD/EUR с Китаем практически не проходят. Двуязычный (RU/EN или RU/CN).</t>
        </is>
      </c>
      <c r="C14" s="22" t="inlineStr"/>
    </row>
    <row r="15">
      <c r="A15" s="6" t="inlineStr">
        <is>
          <t>5. Контракт</t>
        </is>
      </c>
      <c r="B15" s="6" t="inlineStr">
        <is>
          <t>В контракте: спецификации-приложения (наименование, кол-во, цена, вес), Инкотермс 2020 (FOB порт / EXW / DAP граница), условия оплаты (напр. 30% аванс / 70% после отгрузки по копии коносамента/CMR), срок поставки, требования к упаковке и маркировке, рекламации, форс-мажор включая санкции и отказ банков, арбитраж (МКАС ТПП РФ или CIETAC).</t>
        </is>
      </c>
      <c r="C15" s="22" t="inlineStr"/>
    </row>
    <row r="16">
      <c r="A16" s="6" t="inlineStr">
        <is>
          <t>5. Контракт</t>
        </is>
      </c>
      <c r="B16" s="6" t="inlineStr">
        <is>
          <t>Оговорка о возможности оплаты третьим лицом (платёжным агентом) — на случай, если прямой платёж не пройдёт. Без неё оплата через агента — нарушение валютного законодательства.</t>
        </is>
      </c>
      <c r="C16" s="22" t="inlineStr"/>
    </row>
    <row r="17">
      <c r="A17" s="6" t="inlineStr">
        <is>
          <t>6. Банк</t>
        </is>
      </c>
      <c r="B17" s="6" t="inlineStr">
        <is>
          <t>Открыть валютный счёт в CNY (основной + резервный банк). Сравнивать итоговую стоимость: комиссия за перевод + спред конвертации RUB→CNY (обычно основная часть затрат) + комиссии банков-корреспондентов; срок зачисления; долю возвратов платежей.</t>
        </is>
      </c>
      <c r="C17" s="22" t="inlineStr"/>
    </row>
    <row r="18">
      <c r="A18" s="6" t="inlineStr">
        <is>
          <t>6. Банк</t>
        </is>
      </c>
      <c r="B18" s="6" t="inlineStr">
        <is>
          <t>Контракт ≥ 3 млн ₽ — поставить на учёт в банке (УНК) до первого платежа (Инструкция ЦБ № 181-И). Указать ожидаемые сроки поставки по авансу.</t>
        </is>
      </c>
      <c r="C18" s="22" t="inlineStr"/>
    </row>
    <row r="19">
      <c r="A19" s="6" t="inlineStr">
        <is>
          <t>6. Банк</t>
        </is>
      </c>
      <c r="B19" s="6" t="inlineStr">
        <is>
          <t>Аванс: если товар не ввезён в срок по контракту — обязанность вернуть аванс (ст. 19 173-ФЗ), иначе штраф. Сроки ставьте с запасом.</t>
        </is>
      </c>
      <c r="C19" s="22" t="inlineStr"/>
    </row>
    <row r="20">
      <c r="A20" s="6" t="inlineStr">
        <is>
          <t>7. Деньги на таможню</t>
        </is>
      </c>
      <c r="B20" s="6" t="inlineStr">
        <is>
          <t>Открыть личный кабинет участника ВЭД ФТС, пополнить единый лицевой счёт (ЕЛС) в рублях под пошлину + НДС 22% + сбор — платится ДО выпуска. НДС вернётся вычетом (ОСНО) только в следующем квартале — заложить в кассовый разрыв.</t>
        </is>
      </c>
      <c r="C20" s="22" t="inlineStr"/>
    </row>
    <row r="21">
      <c r="A21" s="6" t="inlineStr">
        <is>
          <t>8. Логистика</t>
        </is>
      </c>
      <c r="B21" s="6" t="inlineStr">
        <is>
          <t>Выбрать маршрут (авто через Забайкальск/Благовещенск, ж/д, море через Владивосток, транзит через Казахстан), страхование груза, опасные грузы (химия, Li-ion) — отдельные условия.</t>
        </is>
      </c>
      <c r="C21" s="22" t="inlineStr"/>
    </row>
    <row r="22">
      <c r="A22" s="6" t="inlineStr">
        <is>
          <t>9. После ввоза</t>
        </is>
      </c>
      <c r="B22" s="6" t="inlineStr">
        <is>
          <t>Подъёмники: ЭПСМ, регистрация в Гостехнадзоре, утильсбор. Бухучёт импорта, вычет НДС по ДТ и платёжке.</t>
        </is>
      </c>
      <c r="C22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2026-09-30T09:03:38Z</dcterms:created>
  <dcterms:modified xsi:type="dcterms:W3CDTF">2026-09-30T09:03:38Z</dcterms:modified>
</cp:coreProperties>
</file>