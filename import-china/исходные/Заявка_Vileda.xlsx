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Олег Сергеевич\Downloads\"/>
    </mc:Choice>
  </mc:AlternateContent>
  <xr:revisionPtr revIDLastSave="0" documentId="13_ncr:1_{99BCCF2F-C3AF-4197-938C-83C5619B21A6}" xr6:coauthVersionLast="47" xr6:coauthVersionMax="47" xr10:uidLastSave="{00000000-0000-0000-0000-000000000000}"/>
  <bookViews>
    <workbookView xWindow="-110" yWindow="-110" windowWidth="25420" windowHeight="16300" tabRatio="500" xr2:uid="{00000000-000D-0000-FFFF-FFFF00000000}"/>
  </bookViews>
  <sheets>
    <sheet name="Заявк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0" i="1" l="1"/>
  <c r="G69" i="1"/>
  <c r="G68" i="1"/>
  <c r="G67" i="1"/>
  <c r="G65" i="1"/>
  <c r="G64" i="1"/>
  <c r="G63" i="1"/>
  <c r="G61" i="1" l="1"/>
  <c r="G60" i="1"/>
  <c r="G59" i="1"/>
  <c r="G58" i="1"/>
  <c r="G56" i="1"/>
  <c r="G54" i="1"/>
  <c r="G53" i="1"/>
  <c r="G52" i="1"/>
  <c r="G51" i="1"/>
  <c r="G49" i="1"/>
  <c r="G48" i="1"/>
  <c r="G47" i="1"/>
  <c r="G46" i="1"/>
  <c r="G45" i="1"/>
  <c r="G43" i="1"/>
  <c r="G42" i="1"/>
  <c r="G41" i="1"/>
  <c r="G40" i="1"/>
  <c r="G39" i="1"/>
  <c r="G38" i="1"/>
  <c r="G37" i="1"/>
  <c r="G35" i="1"/>
  <c r="G34" i="1"/>
  <c r="G33" i="1"/>
  <c r="G32" i="1"/>
  <c r="G31" i="1"/>
  <c r="G30" i="1"/>
  <c r="G28" i="1"/>
  <c r="G27" i="1"/>
  <c r="G26" i="1"/>
  <c r="G25" i="1"/>
  <c r="G23" i="1"/>
  <c r="G22" i="1"/>
  <c r="G21" i="1"/>
  <c r="G19" i="1"/>
  <c r="G18" i="1"/>
  <c r="G17" i="1"/>
  <c r="G16" i="1"/>
  <c r="G15" i="1"/>
  <c r="G13" i="1"/>
  <c r="G12" i="1"/>
  <c r="G11" i="1"/>
  <c r="G10" i="1"/>
  <c r="G8" i="1"/>
  <c r="G7" i="1"/>
  <c r="G6" i="1"/>
</calcChain>
</file>

<file path=xl/sharedStrings.xml><?xml version="1.0" encoding="utf-8"?>
<sst xmlns="http://schemas.openxmlformats.org/spreadsheetml/2006/main" count="179" uniqueCount="104">
  <si>
    <t>Заявка на поставку клинингового инвентаря Vileda Professional</t>
  </si>
  <si>
    <t>Кому: ____________________   От кого: ____________________   Дата: ____________</t>
  </si>
  <si>
    <t>№</t>
  </si>
  <si>
    <t>Наименование</t>
  </si>
  <si>
    <t>Категория / назначение</t>
  </si>
  <si>
    <t>Ед. изм.</t>
  </si>
  <si>
    <t>Кол-во</t>
  </si>
  <si>
    <t>Цена за ед., ₽</t>
  </si>
  <si>
    <t>Сумма, ₽</t>
  </si>
  <si>
    <t>Тележки</t>
  </si>
  <si>
    <t>Тележка клининговая Vileda UltraSpeed Pro</t>
  </si>
  <si>
    <t>шт</t>
  </si>
  <si>
    <t>Тележка клининговая Vileda UltraSpeed Mini</t>
  </si>
  <si>
    <t>Тележки (малые зоны)</t>
  </si>
  <si>
    <t>Тележка клининговая Vileda MicroBasic</t>
  </si>
  <si>
    <t>Тележки (базовая комплектация)</t>
  </si>
  <si>
    <t>Вёдра и отжимные системы</t>
  </si>
  <si>
    <t>Ведро с педальным отжимом Vileda EasyPress</t>
  </si>
  <si>
    <t>Отжимные системы</t>
  </si>
  <si>
    <t>Ведро двухсекционное Vileda Professional (грязная/чистая вода)</t>
  </si>
  <si>
    <t>Ведро трёхсекционное с ситом-отжимом</t>
  </si>
  <si>
    <t>Пресс отжимной навесной на ведро</t>
  </si>
  <si>
    <t>Мопы влажной уборки</t>
  </si>
  <si>
    <t>Моп Vileda UltraSpeed Twist Mop (сменный, петлевой)</t>
  </si>
  <si>
    <t>Мопы влажные — плоские/петлевые</t>
  </si>
  <si>
    <t>Моп плоский Vileda MicroTech (флет-моп, микрофибра)</t>
  </si>
  <si>
    <t>Мопы плоские</t>
  </si>
  <si>
    <t>Моп веревочный (шнуровой) из хлопка/вискозы</t>
  </si>
  <si>
    <t>Мопы для сильных загрязнений</t>
  </si>
  <si>
    <t>Моп из микрофибры повышенной впитываемости (для больших разливов)</t>
  </si>
  <si>
    <t>Мопы влажные усиленные</t>
  </si>
  <si>
    <t>Моп-твист (спин-моп) с ручным отжимом</t>
  </si>
  <si>
    <t>Мопы компактные / ручная уборка</t>
  </si>
  <si>
    <t>Мопы сухой уборки</t>
  </si>
  <si>
    <t>Моп для сухой уборки (пыли) плоский, микрофибра</t>
  </si>
  <si>
    <t>Мопы сухие — сбор пыли</t>
  </si>
  <si>
    <t>Моп для сухой уборки ворсистый (антистатический)</t>
  </si>
  <si>
    <t>Мопы сухие — антистатик</t>
  </si>
  <si>
    <t>Моп-щётка для сбора крупного мусора</t>
  </si>
  <si>
    <t>Мопы сухие — крупный мусор</t>
  </si>
  <si>
    <t>Держатели и рукоятки</t>
  </si>
  <si>
    <t>Держатель для плоского мопа (флет-моп), быстросъёмный</t>
  </si>
  <si>
    <t>Держатели</t>
  </si>
  <si>
    <t>Держатель для петлевого/веревочного мопа</t>
  </si>
  <si>
    <t>Ручка телескопическая алюминиевая</t>
  </si>
  <si>
    <t>Рукоятки</t>
  </si>
  <si>
    <t>Ручка телескопическая для высоких потолков/стеллажей (удлинённая)</t>
  </si>
  <si>
    <t>Сгоны и скребки для воды</t>
  </si>
  <si>
    <t>Сгон для воды на пол (водосгон), резиновый, широкий</t>
  </si>
  <si>
    <t>Сгоны — полы</t>
  </si>
  <si>
    <t>Сгон для воды на пол, узкий (для труднодоступных зон/углов)</t>
  </si>
  <si>
    <t>Сгон для стёкол (склиз) с мягкой резинкой</t>
  </si>
  <si>
    <t>Сгоны — стёкла</t>
  </si>
  <si>
    <t>Сгон комбинированный (стекло + пол, двусторонний)</t>
  </si>
  <si>
    <t>Сгоны универсальные</t>
  </si>
  <si>
    <t>Запасные резинки/лезвия для сгонов</t>
  </si>
  <si>
    <t>Сгоны — расходники</t>
  </si>
  <si>
    <t>уп</t>
  </si>
  <si>
    <t>Скребок для пола с металлическим лезвием (снятие наклеек/жвачки)</t>
  </si>
  <si>
    <t>Скребки</t>
  </si>
  <si>
    <t>Салфетки из микрофибры (цветовое кодирование)</t>
  </si>
  <si>
    <t>Салфетки (цвет. код.)</t>
  </si>
  <si>
    <t>Салфетки Vileda MicroTech Pro (для оргтехники/стёкол)</t>
  </si>
  <si>
    <t>Салфетки спец.</t>
  </si>
  <si>
    <t>Салфетки вафельные (для полировки без разводов)</t>
  </si>
  <si>
    <t>Щётки и стёкла</t>
  </si>
  <si>
    <t>Щётка Vileda Professional (жёсткая/универсальная)</t>
  </si>
  <si>
    <t>Щётки</t>
  </si>
  <si>
    <t>Щётка мягкая для деликатных поверхностей</t>
  </si>
  <si>
    <t>Щётка угловая (для труднодоступных мест)</t>
  </si>
  <si>
    <t>Скребок для стёкол Vileda UltraSpeed Glass</t>
  </si>
  <si>
    <t>Стёкла</t>
  </si>
  <si>
    <t>Оконная система Vileda Windomatic (моп + сгон)</t>
  </si>
  <si>
    <t>Мытьё окон</t>
  </si>
  <si>
    <t>Для склада</t>
  </si>
  <si>
    <t>Моп широкий промышленный (увеличенная площадь захвата)</t>
  </si>
  <si>
    <t>Склад — мопы</t>
  </si>
  <si>
    <t>Сгон для воды широкий промышленный (от 60 см)</t>
  </si>
  <si>
    <t>Склад — сгоны</t>
  </si>
  <si>
    <t>Абсорбирующие салфетки/маты для разливов (масла, ГСМ)</t>
  </si>
  <si>
    <t>Склад</t>
  </si>
  <si>
    <t>Магнитная щётка-подметалка (сбор металлической стружки)</t>
  </si>
  <si>
    <t>Расходники</t>
  </si>
  <si>
    <t>Таблички информационные «Мокрый пол»</t>
  </si>
  <si>
    <t>ИТОГО, ₽:</t>
  </si>
  <si>
    <t>Салфетки из микрофибры Vileda MicroFit — красный 40х40</t>
  </si>
  <si>
    <t>Салфетки из микрофибры Vileda MicroFit — синий 40х40</t>
  </si>
  <si>
    <t>Салфетки из микрофибры Vileda MicroFit — жёлтый 40х40</t>
  </si>
  <si>
    <t>Салфетки из микрофибры Vileda MicroFit — зелёный 40х40</t>
  </si>
  <si>
    <t>Салфетки из микрофибры Vileda MicroFit — белый 40х40</t>
  </si>
  <si>
    <t>Салфетки из микрофибры Vileda MicroFit — красный 70х80</t>
  </si>
  <si>
    <t>Салфетки из микрофибры Vileda MicroFit — синий 70х80</t>
  </si>
  <si>
    <t>Салфетки из микрофибры Vileda MicroFit — жёлтый 70х80</t>
  </si>
  <si>
    <t>Салфетки из микрофибры Vileda MicroFit — зелёный 70х80</t>
  </si>
  <si>
    <t>Для медицинских помещений</t>
  </si>
  <si>
    <t>Одноразовые салфетки/мопы (снижение риска перекрёстного заражения)</t>
  </si>
  <si>
    <t>Медицина</t>
  </si>
  <si>
    <t>Предварительно пропитанные салфетки (prewetted system)</t>
  </si>
  <si>
    <t>Моп одноразовый для дезинфекции процедурных</t>
  </si>
  <si>
    <t>Для пищевых помещений</t>
  </si>
  <si>
    <t>Ёршики/щётки для труб и стоков</t>
  </si>
  <si>
    <t>Пищевые помещения</t>
  </si>
  <si>
    <t>Моп из микрофибры, разрешённый для контакта с пищ. поверхностями</t>
  </si>
  <si>
    <t>Сгон для воды пищевого класса (для цехов)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</si>
</sst>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2F5496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/>
    <xf numFmtId="0" fontId="1" fillId="0" borderId="0" xfId="0" applyFont="1"/>
    <xf numFmtId="0" fontId="2" fillId="0" borderId="0" xfId="0" applyFont="1"/>
    <xf numFmtId="0" fontId="4" fillId="3" borderId="1" xfId="0" applyFont="1" applyFill="1" applyBorder="1"/>
    <xf numFmtId="0" fontId="2" fillId="0" borderId="0" xfId="0" applyFont="1" applyAlignment="1">
      <alignment wrapText="1"/>
    </xf>
    <xf numFmtId="0" fontId="6" fillId="4" borderId="2" xfId="0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showGridLines="0" tabSelected="1" zoomScaleNormal="100" workbookViewId="0">
      <pane ySplit="4" topLeftCell="A5" activePane="bottomLeft" state="frozen"/>
      <selection pane="bottomLeft" activeCell="G70" sqref="G70"/>
    </sheetView>
  </sheetViews>
  <sheetFormatPr defaultColWidth="8.6328125" defaultRowHeight="14.5" x14ac:dyDescent="0.35"/>
  <cols>
    <col min="1" max="1" width="5" customWidth="1"/>
    <col min="2" max="2" width="59.453125" customWidth="1"/>
    <col min="3" max="3" width="30" customWidth="1"/>
    <col min="4" max="4" width="9" customWidth="1"/>
    <col min="5" max="5" width="10" customWidth="1"/>
    <col min="6" max="7" width="14" customWidth="1"/>
  </cols>
  <sheetData>
    <row r="1" spans="1:7" ht="18" x14ac:dyDescent="0.4">
      <c r="A1" s="5" t="s">
        <v>0</v>
      </c>
      <c r="B1" s="5"/>
      <c r="C1" s="5"/>
      <c r="D1" s="5"/>
      <c r="E1" s="5"/>
      <c r="F1" s="5"/>
    </row>
    <row r="2" spans="1:7" x14ac:dyDescent="0.35">
      <c r="A2" s="6" t="s">
        <v>1</v>
      </c>
      <c r="B2" s="6"/>
      <c r="C2" s="6"/>
      <c r="D2" s="6"/>
      <c r="E2" s="6"/>
      <c r="F2" s="6"/>
    </row>
    <row r="4" spans="1:7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5">
      <c r="A5" s="7" t="s">
        <v>9</v>
      </c>
      <c r="B5" s="7"/>
      <c r="C5" s="7"/>
      <c r="D5" s="7"/>
      <c r="E5" s="7"/>
      <c r="F5" s="7"/>
      <c r="G5" s="7"/>
    </row>
    <row r="6" spans="1:7" x14ac:dyDescent="0.35">
      <c r="A6" s="2">
        <v>1</v>
      </c>
      <c r="B6" s="3" t="s">
        <v>10</v>
      </c>
      <c r="C6" s="3" t="s">
        <v>9</v>
      </c>
      <c r="D6" s="2" t="s">
        <v>11</v>
      </c>
      <c r="E6" s="2">
        <v>20</v>
      </c>
      <c r="F6" s="2"/>
      <c r="G6" s="2" t="str">
        <f>IF(AND(E6&lt;&gt;"",F6&lt;&gt;""),E6*F6,"")</f>
        <v/>
      </c>
    </row>
    <row r="7" spans="1:7" x14ac:dyDescent="0.35">
      <c r="A7" s="2">
        <v>2</v>
      </c>
      <c r="B7" s="3" t="s">
        <v>12</v>
      </c>
      <c r="C7" s="3" t="s">
        <v>13</v>
      </c>
      <c r="D7" s="2" t="s">
        <v>11</v>
      </c>
      <c r="E7" s="2">
        <v>20</v>
      </c>
      <c r="F7" s="2"/>
      <c r="G7" s="2" t="str">
        <f>IF(AND(E7&lt;&gt;"",F7&lt;&gt;""),E7*F7,"")</f>
        <v/>
      </c>
    </row>
    <row r="8" spans="1:7" x14ac:dyDescent="0.35">
      <c r="A8" s="2">
        <v>3</v>
      </c>
      <c r="B8" s="3" t="s">
        <v>14</v>
      </c>
      <c r="C8" s="3" t="s">
        <v>15</v>
      </c>
      <c r="D8" s="2" t="s">
        <v>11</v>
      </c>
      <c r="E8" s="2">
        <v>20</v>
      </c>
      <c r="F8" s="2"/>
      <c r="G8" s="2" t="str">
        <f>IF(AND(E8&lt;&gt;"",F8&lt;&gt;""),E8*F8,"")</f>
        <v/>
      </c>
    </row>
    <row r="9" spans="1:7" x14ac:dyDescent="0.35">
      <c r="A9" s="7" t="s">
        <v>16</v>
      </c>
      <c r="B9" s="7"/>
      <c r="C9" s="7"/>
      <c r="D9" s="7"/>
      <c r="E9" s="7"/>
      <c r="F9" s="7"/>
      <c r="G9" s="7"/>
    </row>
    <row r="10" spans="1:7" x14ac:dyDescent="0.35">
      <c r="A10" s="2">
        <v>4</v>
      </c>
      <c r="B10" s="3" t="s">
        <v>17</v>
      </c>
      <c r="C10" s="3" t="s">
        <v>18</v>
      </c>
      <c r="D10" s="2" t="s">
        <v>11</v>
      </c>
      <c r="E10" s="2">
        <v>20</v>
      </c>
      <c r="F10" s="2"/>
      <c r="G10" s="2" t="str">
        <f>IF(AND(E10&lt;&gt;"",F10&lt;&gt;""),E10*F10,"")</f>
        <v/>
      </c>
    </row>
    <row r="11" spans="1:7" ht="25" x14ac:dyDescent="0.35">
      <c r="A11" s="2">
        <v>5</v>
      </c>
      <c r="B11" s="3" t="s">
        <v>19</v>
      </c>
      <c r="C11" s="3" t="s">
        <v>18</v>
      </c>
      <c r="D11" s="2" t="s">
        <v>11</v>
      </c>
      <c r="E11" s="2">
        <v>20</v>
      </c>
      <c r="F11" s="2"/>
      <c r="G11" s="2" t="str">
        <f>IF(AND(E11&lt;&gt;"",F11&lt;&gt;""),E11*F11,"")</f>
        <v/>
      </c>
    </row>
    <row r="12" spans="1:7" x14ac:dyDescent="0.35">
      <c r="A12" s="2">
        <v>6</v>
      </c>
      <c r="B12" s="3" t="s">
        <v>20</v>
      </c>
      <c r="C12" s="3" t="s">
        <v>18</v>
      </c>
      <c r="D12" s="2" t="s">
        <v>11</v>
      </c>
      <c r="E12" s="2">
        <v>20</v>
      </c>
      <c r="F12" s="2"/>
      <c r="G12" s="2" t="str">
        <f>IF(AND(E12&lt;&gt;"",F12&lt;&gt;""),E12*F12,"")</f>
        <v/>
      </c>
    </row>
    <row r="13" spans="1:7" x14ac:dyDescent="0.35">
      <c r="A13" s="2">
        <v>7</v>
      </c>
      <c r="B13" s="3" t="s">
        <v>21</v>
      </c>
      <c r="C13" s="3" t="s">
        <v>18</v>
      </c>
      <c r="D13" s="2" t="s">
        <v>11</v>
      </c>
      <c r="E13" s="2">
        <v>20</v>
      </c>
      <c r="F13" s="2"/>
      <c r="G13" s="2" t="str">
        <f>IF(AND(E13&lt;&gt;"",F13&lt;&gt;""),E13*F13,"")</f>
        <v/>
      </c>
    </row>
    <row r="14" spans="1:7" x14ac:dyDescent="0.35">
      <c r="A14" s="7" t="s">
        <v>22</v>
      </c>
      <c r="B14" s="7"/>
      <c r="C14" s="7"/>
      <c r="D14" s="7"/>
      <c r="E14" s="7"/>
      <c r="F14" s="7"/>
      <c r="G14" s="7"/>
    </row>
    <row r="15" spans="1:7" ht="25" x14ac:dyDescent="0.35">
      <c r="A15" s="2">
        <v>8</v>
      </c>
      <c r="B15" s="3" t="s">
        <v>23</v>
      </c>
      <c r="C15" s="3" t="s">
        <v>24</v>
      </c>
      <c r="D15" s="2" t="s">
        <v>11</v>
      </c>
      <c r="E15" s="2">
        <v>100</v>
      </c>
      <c r="F15" s="2"/>
      <c r="G15" s="2" t="str">
        <f>IF(AND(E15&lt;&gt;"",F15&lt;&gt;""),E15*F15,"")</f>
        <v/>
      </c>
    </row>
    <row r="16" spans="1:7" ht="25" x14ac:dyDescent="0.35">
      <c r="A16" s="2">
        <v>9</v>
      </c>
      <c r="B16" s="3" t="s">
        <v>25</v>
      </c>
      <c r="C16" s="3" t="s">
        <v>26</v>
      </c>
      <c r="D16" s="2" t="s">
        <v>11</v>
      </c>
      <c r="E16" s="2">
        <v>100</v>
      </c>
      <c r="F16" s="2"/>
      <c r="G16" s="2" t="str">
        <f>IF(AND(E16&lt;&gt;"",F16&lt;&gt;""),E16*F16,"")</f>
        <v/>
      </c>
    </row>
    <row r="17" spans="1:7" x14ac:dyDescent="0.35">
      <c r="A17" s="2">
        <v>10</v>
      </c>
      <c r="B17" s="3" t="s">
        <v>27</v>
      </c>
      <c r="C17" s="3" t="s">
        <v>28</v>
      </c>
      <c r="D17" s="2" t="s">
        <v>11</v>
      </c>
      <c r="E17" s="2">
        <v>50</v>
      </c>
      <c r="F17" s="2"/>
      <c r="G17" s="2" t="str">
        <f>IF(AND(E17&lt;&gt;"",F17&lt;&gt;""),E17*F17,"")</f>
        <v/>
      </c>
    </row>
    <row r="18" spans="1:7" ht="25" x14ac:dyDescent="0.35">
      <c r="A18" s="2">
        <v>11</v>
      </c>
      <c r="B18" s="3" t="s">
        <v>29</v>
      </c>
      <c r="C18" s="3" t="s">
        <v>30</v>
      </c>
      <c r="D18" s="2" t="s">
        <v>11</v>
      </c>
      <c r="E18" s="2">
        <v>50</v>
      </c>
      <c r="F18" s="2"/>
      <c r="G18" s="2" t="str">
        <f>IF(AND(E18&lt;&gt;"",F18&lt;&gt;""),E18*F18,"")</f>
        <v/>
      </c>
    </row>
    <row r="19" spans="1:7" x14ac:dyDescent="0.35">
      <c r="A19" s="2">
        <v>12</v>
      </c>
      <c r="B19" s="3" t="s">
        <v>31</v>
      </c>
      <c r="C19" s="3" t="s">
        <v>32</v>
      </c>
      <c r="D19" s="2" t="s">
        <v>11</v>
      </c>
      <c r="E19" s="2">
        <v>50</v>
      </c>
      <c r="F19" s="2"/>
      <c r="G19" s="2" t="str">
        <f>IF(AND(E19&lt;&gt;"",F19&lt;&gt;""),E19*F19,"")</f>
        <v/>
      </c>
    </row>
    <row r="20" spans="1:7" x14ac:dyDescent="0.35">
      <c r="A20" s="7" t="s">
        <v>33</v>
      </c>
      <c r="B20" s="7"/>
      <c r="C20" s="7"/>
      <c r="D20" s="7"/>
      <c r="E20" s="7"/>
      <c r="F20" s="7"/>
      <c r="G20" s="7"/>
    </row>
    <row r="21" spans="1:7" x14ac:dyDescent="0.35">
      <c r="A21" s="2">
        <v>13</v>
      </c>
      <c r="B21" s="3" t="s">
        <v>34</v>
      </c>
      <c r="C21" s="3" t="s">
        <v>35</v>
      </c>
      <c r="D21" s="2" t="s">
        <v>11</v>
      </c>
      <c r="E21" s="2">
        <v>100</v>
      </c>
      <c r="F21" s="2"/>
      <c r="G21" s="2" t="str">
        <f>IF(AND(E21&lt;&gt;"",F21&lt;&gt;""),E21*F21,"")</f>
        <v/>
      </c>
    </row>
    <row r="22" spans="1:7" x14ac:dyDescent="0.35">
      <c r="A22" s="2">
        <v>14</v>
      </c>
      <c r="B22" s="3" t="s">
        <v>36</v>
      </c>
      <c r="C22" s="3" t="s">
        <v>37</v>
      </c>
      <c r="D22" s="2" t="s">
        <v>11</v>
      </c>
      <c r="E22" s="2">
        <v>100</v>
      </c>
      <c r="F22" s="2"/>
      <c r="G22" s="2" t="str">
        <f>IF(AND(E22&lt;&gt;"",F22&lt;&gt;""),E22*F22,"")</f>
        <v/>
      </c>
    </row>
    <row r="23" spans="1:7" x14ac:dyDescent="0.35">
      <c r="A23" s="2">
        <v>15</v>
      </c>
      <c r="B23" s="3" t="s">
        <v>38</v>
      </c>
      <c r="C23" s="3" t="s">
        <v>39</v>
      </c>
      <c r="D23" s="2" t="s">
        <v>11</v>
      </c>
      <c r="E23" s="2">
        <v>50</v>
      </c>
      <c r="F23" s="2"/>
      <c r="G23" s="2" t="str">
        <f>IF(AND(E23&lt;&gt;"",F23&lt;&gt;""),E23*F23,"")</f>
        <v/>
      </c>
    </row>
    <row r="24" spans="1:7" x14ac:dyDescent="0.35">
      <c r="A24" s="7" t="s">
        <v>40</v>
      </c>
      <c r="B24" s="7"/>
      <c r="C24" s="7"/>
      <c r="D24" s="7"/>
      <c r="E24" s="7"/>
      <c r="F24" s="7"/>
      <c r="G24" s="7"/>
    </row>
    <row r="25" spans="1:7" ht="25" x14ac:dyDescent="0.35">
      <c r="A25" s="2">
        <v>16</v>
      </c>
      <c r="B25" s="3" t="s">
        <v>41</v>
      </c>
      <c r="C25" s="3" t="s">
        <v>42</v>
      </c>
      <c r="D25" s="2" t="s">
        <v>11</v>
      </c>
      <c r="E25" s="2">
        <v>25</v>
      </c>
      <c r="F25" s="2"/>
      <c r="G25" s="2" t="str">
        <f>IF(AND(E25&lt;&gt;"",F25&lt;&gt;""),E25*F25,"")</f>
        <v/>
      </c>
    </row>
    <row r="26" spans="1:7" x14ac:dyDescent="0.35">
      <c r="A26" s="2">
        <v>17</v>
      </c>
      <c r="B26" s="3" t="s">
        <v>43</v>
      </c>
      <c r="C26" s="3" t="s">
        <v>42</v>
      </c>
      <c r="D26" s="2" t="s">
        <v>11</v>
      </c>
      <c r="E26" s="2">
        <v>25</v>
      </c>
      <c r="F26" s="2"/>
      <c r="G26" s="2" t="str">
        <f>IF(AND(E26&lt;&gt;"",F26&lt;&gt;""),E26*F26,"")</f>
        <v/>
      </c>
    </row>
    <row r="27" spans="1:7" x14ac:dyDescent="0.35">
      <c r="A27" s="2">
        <v>18</v>
      </c>
      <c r="B27" s="3" t="s">
        <v>44</v>
      </c>
      <c r="C27" s="3" t="s">
        <v>45</v>
      </c>
      <c r="D27" s="2" t="s">
        <v>11</v>
      </c>
      <c r="E27" s="2">
        <v>50</v>
      </c>
      <c r="F27" s="2"/>
      <c r="G27" s="2" t="str">
        <f>IF(AND(E27&lt;&gt;"",F27&lt;&gt;""),E27*F27,"")</f>
        <v/>
      </c>
    </row>
    <row r="28" spans="1:7" ht="25" x14ac:dyDescent="0.35">
      <c r="A28" s="2">
        <v>19</v>
      </c>
      <c r="B28" s="3" t="s">
        <v>46</v>
      </c>
      <c r="C28" s="3" t="s">
        <v>45</v>
      </c>
      <c r="D28" s="2" t="s">
        <v>11</v>
      </c>
      <c r="E28" s="2">
        <v>50</v>
      </c>
      <c r="F28" s="2"/>
      <c r="G28" s="2" t="str">
        <f>IF(AND(E28&lt;&gt;"",F28&lt;&gt;""),E28*F28,"")</f>
        <v/>
      </c>
    </row>
    <row r="29" spans="1:7" x14ac:dyDescent="0.35">
      <c r="A29" s="7" t="s">
        <v>47</v>
      </c>
      <c r="B29" s="7"/>
      <c r="C29" s="7"/>
      <c r="D29" s="7"/>
      <c r="E29" s="7"/>
      <c r="F29" s="7"/>
      <c r="G29" s="7"/>
    </row>
    <row r="30" spans="1:7" ht="25" x14ac:dyDescent="0.35">
      <c r="A30" s="2">
        <v>20</v>
      </c>
      <c r="B30" s="3" t="s">
        <v>48</v>
      </c>
      <c r="C30" s="3" t="s">
        <v>49</v>
      </c>
      <c r="D30" s="2" t="s">
        <v>11</v>
      </c>
      <c r="E30" s="2">
        <v>20</v>
      </c>
      <c r="F30" s="2"/>
      <c r="G30" s="2" t="str">
        <f t="shared" ref="G30:G35" si="0">IF(AND(E30&lt;&gt;"",F30&lt;&gt;""),E30*F30,"")</f>
        <v/>
      </c>
    </row>
    <row r="31" spans="1:7" ht="25" x14ac:dyDescent="0.35">
      <c r="A31" s="2">
        <v>21</v>
      </c>
      <c r="B31" s="3" t="s">
        <v>50</v>
      </c>
      <c r="C31" s="3" t="s">
        <v>49</v>
      </c>
      <c r="D31" s="2" t="s">
        <v>11</v>
      </c>
      <c r="E31" s="2">
        <v>20</v>
      </c>
      <c r="F31" s="2"/>
      <c r="G31" s="2" t="str">
        <f t="shared" si="0"/>
        <v/>
      </c>
    </row>
    <row r="32" spans="1:7" x14ac:dyDescent="0.35">
      <c r="A32" s="2">
        <v>22</v>
      </c>
      <c r="B32" s="3" t="s">
        <v>51</v>
      </c>
      <c r="C32" s="3" t="s">
        <v>52</v>
      </c>
      <c r="D32" s="2" t="s">
        <v>11</v>
      </c>
      <c r="E32" s="2">
        <v>30</v>
      </c>
      <c r="F32" s="2"/>
      <c r="G32" s="2" t="str">
        <f t="shared" si="0"/>
        <v/>
      </c>
    </row>
    <row r="33" spans="1:7" x14ac:dyDescent="0.35">
      <c r="A33" s="2">
        <v>23</v>
      </c>
      <c r="B33" s="3" t="s">
        <v>53</v>
      </c>
      <c r="C33" s="3" t="s">
        <v>54</v>
      </c>
      <c r="D33" s="2" t="s">
        <v>11</v>
      </c>
      <c r="E33" s="2">
        <v>20</v>
      </c>
      <c r="F33" s="2"/>
      <c r="G33" s="2" t="str">
        <f t="shared" si="0"/>
        <v/>
      </c>
    </row>
    <row r="34" spans="1:7" x14ac:dyDescent="0.35">
      <c r="A34" s="2">
        <v>24</v>
      </c>
      <c r="B34" s="3" t="s">
        <v>55</v>
      </c>
      <c r="C34" s="3" t="s">
        <v>56</v>
      </c>
      <c r="D34" s="2" t="s">
        <v>57</v>
      </c>
      <c r="E34" s="2">
        <v>20</v>
      </c>
      <c r="F34" s="2"/>
      <c r="G34" s="2" t="str">
        <f t="shared" si="0"/>
        <v/>
      </c>
    </row>
    <row r="35" spans="1:7" ht="25" x14ac:dyDescent="0.35">
      <c r="A35" s="2">
        <v>25</v>
      </c>
      <c r="B35" s="3" t="s">
        <v>58</v>
      </c>
      <c r="C35" s="3" t="s">
        <v>59</v>
      </c>
      <c r="D35" s="2" t="s">
        <v>11</v>
      </c>
      <c r="E35" s="2">
        <v>100</v>
      </c>
      <c r="F35" s="2"/>
      <c r="G35" s="2" t="str">
        <f t="shared" si="0"/>
        <v/>
      </c>
    </row>
    <row r="36" spans="1:7" x14ac:dyDescent="0.35">
      <c r="A36" s="7" t="s">
        <v>60</v>
      </c>
      <c r="B36" s="7"/>
      <c r="C36" s="7"/>
      <c r="D36" s="7"/>
      <c r="E36" s="7"/>
      <c r="F36" s="7"/>
      <c r="G36" s="7"/>
    </row>
    <row r="37" spans="1:7" x14ac:dyDescent="0.35">
      <c r="A37" s="2">
        <v>26</v>
      </c>
      <c r="B37" s="3" t="s">
        <v>85</v>
      </c>
      <c r="C37" s="3" t="s">
        <v>61</v>
      </c>
      <c r="D37" s="2" t="s">
        <v>11</v>
      </c>
      <c r="E37" s="2">
        <v>200</v>
      </c>
      <c r="F37" s="2"/>
      <c r="G37" s="2" t="str">
        <f t="shared" ref="G37:G43" si="1">IF(AND(E37&lt;&gt;"",F37&lt;&gt;""),E37*F37,"")</f>
        <v/>
      </c>
    </row>
    <row r="38" spans="1:7" x14ac:dyDescent="0.35">
      <c r="A38" s="2">
        <v>27</v>
      </c>
      <c r="B38" s="3" t="s">
        <v>86</v>
      </c>
      <c r="C38" s="3" t="s">
        <v>61</v>
      </c>
      <c r="D38" s="2" t="s">
        <v>11</v>
      </c>
      <c r="E38" s="2">
        <v>200</v>
      </c>
      <c r="F38" s="2"/>
      <c r="G38" s="2" t="str">
        <f t="shared" si="1"/>
        <v/>
      </c>
    </row>
    <row r="39" spans="1:7" x14ac:dyDescent="0.35">
      <c r="A39" s="2">
        <v>28</v>
      </c>
      <c r="B39" s="3" t="s">
        <v>87</v>
      </c>
      <c r="C39" s="3" t="s">
        <v>61</v>
      </c>
      <c r="D39" s="2" t="s">
        <v>11</v>
      </c>
      <c r="E39" s="2">
        <v>200</v>
      </c>
      <c r="F39" s="2"/>
      <c r="G39" s="2" t="str">
        <f t="shared" si="1"/>
        <v/>
      </c>
    </row>
    <row r="40" spans="1:7" x14ac:dyDescent="0.35">
      <c r="A40" s="2">
        <v>29</v>
      </c>
      <c r="B40" s="3" t="s">
        <v>88</v>
      </c>
      <c r="C40" s="3" t="s">
        <v>61</v>
      </c>
      <c r="D40" s="2" t="s">
        <v>11</v>
      </c>
      <c r="E40" s="2">
        <v>200</v>
      </c>
      <c r="F40" s="2"/>
      <c r="G40" s="2" t="str">
        <f t="shared" si="1"/>
        <v/>
      </c>
    </row>
    <row r="41" spans="1:7" x14ac:dyDescent="0.35">
      <c r="A41" s="2">
        <v>30</v>
      </c>
      <c r="B41" s="3" t="s">
        <v>89</v>
      </c>
      <c r="C41" s="3" t="s">
        <v>61</v>
      </c>
      <c r="D41" s="2" t="s">
        <v>11</v>
      </c>
      <c r="E41" s="2">
        <v>200</v>
      </c>
      <c r="F41" s="2"/>
      <c r="G41" s="2" t="str">
        <f t="shared" si="1"/>
        <v/>
      </c>
    </row>
    <row r="42" spans="1:7" ht="25" x14ac:dyDescent="0.35">
      <c r="A42" s="2">
        <v>31</v>
      </c>
      <c r="B42" s="3" t="s">
        <v>62</v>
      </c>
      <c r="C42" s="3" t="s">
        <v>63</v>
      </c>
      <c r="D42" s="2" t="s">
        <v>11</v>
      </c>
      <c r="E42" s="2">
        <v>200</v>
      </c>
      <c r="F42" s="2"/>
      <c r="G42" s="2" t="str">
        <f t="shared" si="1"/>
        <v/>
      </c>
    </row>
    <row r="43" spans="1:7" x14ac:dyDescent="0.35">
      <c r="A43" s="2">
        <v>32</v>
      </c>
      <c r="B43" s="3" t="s">
        <v>64</v>
      </c>
      <c r="C43" s="3" t="s">
        <v>63</v>
      </c>
      <c r="D43" s="2" t="s">
        <v>11</v>
      </c>
      <c r="E43" s="2">
        <v>200</v>
      </c>
      <c r="F43" s="2"/>
      <c r="G43" s="2" t="str">
        <f t="shared" si="1"/>
        <v/>
      </c>
    </row>
    <row r="44" spans="1:7" x14ac:dyDescent="0.35">
      <c r="A44" s="7" t="s">
        <v>65</v>
      </c>
      <c r="B44" s="7"/>
      <c r="C44" s="7"/>
      <c r="D44" s="7"/>
      <c r="E44" s="7"/>
      <c r="F44" s="7"/>
      <c r="G44" s="7"/>
    </row>
    <row r="45" spans="1:7" x14ac:dyDescent="0.35">
      <c r="A45" s="2">
        <v>33</v>
      </c>
      <c r="B45" s="3" t="s">
        <v>66</v>
      </c>
      <c r="C45" s="3" t="s">
        <v>67</v>
      </c>
      <c r="D45" s="2" t="s">
        <v>11</v>
      </c>
      <c r="E45" s="2">
        <v>100</v>
      </c>
      <c r="F45" s="2"/>
      <c r="G45" s="2" t="str">
        <f>IF(AND(E45&lt;&gt;"",F45&lt;&gt;""),E45*F45,"")</f>
        <v/>
      </c>
    </row>
    <row r="46" spans="1:7" x14ac:dyDescent="0.35">
      <c r="A46" s="2">
        <v>34</v>
      </c>
      <c r="B46" s="3" t="s">
        <v>68</v>
      </c>
      <c r="C46" s="3" t="s">
        <v>67</v>
      </c>
      <c r="D46" s="2" t="s">
        <v>11</v>
      </c>
      <c r="E46" s="2">
        <v>50</v>
      </c>
      <c r="F46" s="2"/>
      <c r="G46" s="2" t="str">
        <f>IF(AND(E46&lt;&gt;"",F46&lt;&gt;""),E46*F46,"")</f>
        <v/>
      </c>
    </row>
    <row r="47" spans="1:7" x14ac:dyDescent="0.35">
      <c r="A47" s="2">
        <v>35</v>
      </c>
      <c r="B47" s="3" t="s">
        <v>69</v>
      </c>
      <c r="C47" s="3" t="s">
        <v>67</v>
      </c>
      <c r="D47" s="2" t="s">
        <v>11</v>
      </c>
      <c r="E47" s="2">
        <v>100</v>
      </c>
      <c r="F47" s="2"/>
      <c r="G47" s="2" t="str">
        <f>IF(AND(E47&lt;&gt;"",F47&lt;&gt;""),E47*F47,"")</f>
        <v/>
      </c>
    </row>
    <row r="48" spans="1:7" x14ac:dyDescent="0.35">
      <c r="A48" s="2">
        <v>36</v>
      </c>
      <c r="B48" s="3" t="s">
        <v>70</v>
      </c>
      <c r="C48" s="3" t="s">
        <v>71</v>
      </c>
      <c r="D48" s="2" t="s">
        <v>11</v>
      </c>
      <c r="E48" s="2">
        <v>50</v>
      </c>
      <c r="F48" s="2"/>
      <c r="G48" s="2" t="str">
        <f>IF(AND(E48&lt;&gt;"",F48&lt;&gt;""),E48*F48,"")</f>
        <v/>
      </c>
    </row>
    <row r="49" spans="1:7" x14ac:dyDescent="0.35">
      <c r="A49" s="2">
        <v>37</v>
      </c>
      <c r="B49" s="3" t="s">
        <v>72</v>
      </c>
      <c r="C49" s="3" t="s">
        <v>73</v>
      </c>
      <c r="D49" s="2" t="s">
        <v>11</v>
      </c>
      <c r="E49" s="2">
        <v>25</v>
      </c>
      <c r="F49" s="2"/>
      <c r="G49" s="2" t="str">
        <f>IF(AND(E49&lt;&gt;"",F49&lt;&gt;""),E49*F49,"")</f>
        <v/>
      </c>
    </row>
    <row r="50" spans="1:7" x14ac:dyDescent="0.35">
      <c r="A50" s="7" t="s">
        <v>74</v>
      </c>
      <c r="B50" s="7"/>
      <c r="C50" s="7"/>
      <c r="D50" s="7"/>
      <c r="E50" s="7"/>
      <c r="F50" s="7"/>
      <c r="G50" s="7"/>
    </row>
    <row r="51" spans="1:7" ht="25" x14ac:dyDescent="0.35">
      <c r="A51" s="2">
        <v>38</v>
      </c>
      <c r="B51" s="3" t="s">
        <v>75</v>
      </c>
      <c r="C51" s="3" t="s">
        <v>76</v>
      </c>
      <c r="D51" s="2" t="s">
        <v>11</v>
      </c>
      <c r="E51" s="2">
        <v>20</v>
      </c>
      <c r="F51" s="2"/>
      <c r="G51" s="2" t="str">
        <f>IF(AND(E51&lt;&gt;"",F51&lt;&gt;""),E51*F51,"")</f>
        <v/>
      </c>
    </row>
    <row r="52" spans="1:7" x14ac:dyDescent="0.35">
      <c r="A52" s="2">
        <v>39</v>
      </c>
      <c r="B52" s="3" t="s">
        <v>77</v>
      </c>
      <c r="C52" s="3" t="s">
        <v>78</v>
      </c>
      <c r="D52" s="2" t="s">
        <v>11</v>
      </c>
      <c r="E52" s="2">
        <v>20</v>
      </c>
      <c r="F52" s="2"/>
      <c r="G52" s="2" t="str">
        <f>IF(AND(E52&lt;&gt;"",F52&lt;&gt;""),E52*F52,"")</f>
        <v/>
      </c>
    </row>
    <row r="53" spans="1:7" ht="25" x14ac:dyDescent="0.35">
      <c r="A53" s="2">
        <v>40</v>
      </c>
      <c r="B53" s="3" t="s">
        <v>79</v>
      </c>
      <c r="C53" s="3" t="s">
        <v>80</v>
      </c>
      <c r="D53" s="2" t="s">
        <v>57</v>
      </c>
      <c r="E53" s="2">
        <v>10</v>
      </c>
      <c r="F53" s="2"/>
      <c r="G53" s="2" t="str">
        <f>IF(AND(E53&lt;&gt;"",F53&lt;&gt;""),E53*F53,"")</f>
        <v/>
      </c>
    </row>
    <row r="54" spans="1:7" ht="25" x14ac:dyDescent="0.35">
      <c r="A54" s="2">
        <v>41</v>
      </c>
      <c r="B54" s="3" t="s">
        <v>81</v>
      </c>
      <c r="C54" s="3" t="s">
        <v>80</v>
      </c>
      <c r="D54" s="2" t="s">
        <v>11</v>
      </c>
      <c r="E54" s="2">
        <v>10</v>
      </c>
      <c r="F54" s="2"/>
      <c r="G54" s="2" t="str">
        <f>IF(AND(E54&lt;&gt;"",F54&lt;&gt;""),E54*F54,"")</f>
        <v/>
      </c>
    </row>
    <row r="55" spans="1:7" x14ac:dyDescent="0.35">
      <c r="A55" s="7" t="s">
        <v>82</v>
      </c>
      <c r="B55" s="7"/>
      <c r="C55" s="7"/>
      <c r="D55" s="7"/>
      <c r="E55" s="7"/>
      <c r="F55" s="7"/>
      <c r="G55" s="7"/>
    </row>
    <row r="56" spans="1:7" x14ac:dyDescent="0.35">
      <c r="A56" s="2">
        <v>48</v>
      </c>
      <c r="B56" s="3" t="s">
        <v>83</v>
      </c>
      <c r="C56" s="3" t="s">
        <v>82</v>
      </c>
      <c r="D56" s="2" t="s">
        <v>11</v>
      </c>
      <c r="E56" s="2">
        <v>30</v>
      </c>
      <c r="F56" s="2"/>
      <c r="G56" s="2" t="str">
        <f>IF(AND(E56&lt;&gt;"",F56&lt;&gt;""),E56*F56,"")</f>
        <v/>
      </c>
    </row>
    <row r="57" spans="1:7" x14ac:dyDescent="0.35">
      <c r="A57" s="7" t="s">
        <v>60</v>
      </c>
      <c r="B57" s="7"/>
      <c r="C57" s="7"/>
      <c r="D57" s="7"/>
      <c r="E57" s="7"/>
      <c r="F57" s="7"/>
      <c r="G57" s="7"/>
    </row>
    <row r="58" spans="1:7" x14ac:dyDescent="0.35">
      <c r="A58" s="2">
        <v>26</v>
      </c>
      <c r="B58" s="3" t="s">
        <v>90</v>
      </c>
      <c r="C58" s="3" t="s">
        <v>61</v>
      </c>
      <c r="D58" s="2" t="s">
        <v>11</v>
      </c>
      <c r="E58" s="2">
        <v>100</v>
      </c>
      <c r="F58" s="2"/>
      <c r="G58" s="2" t="str">
        <f t="shared" ref="G58:G61" si="2">IF(AND(E58&lt;&gt;"",F58&lt;&gt;""),E58*F58,"")</f>
        <v/>
      </c>
    </row>
    <row r="59" spans="1:7" x14ac:dyDescent="0.35">
      <c r="A59" s="2">
        <v>27</v>
      </c>
      <c r="B59" s="3" t="s">
        <v>91</v>
      </c>
      <c r="C59" s="3" t="s">
        <v>61</v>
      </c>
      <c r="D59" s="2" t="s">
        <v>11</v>
      </c>
      <c r="E59" s="2">
        <v>100</v>
      </c>
      <c r="F59" s="2"/>
      <c r="G59" s="2" t="str">
        <f t="shared" si="2"/>
        <v/>
      </c>
    </row>
    <row r="60" spans="1:7" x14ac:dyDescent="0.35">
      <c r="A60" s="2">
        <v>28</v>
      </c>
      <c r="B60" s="3" t="s">
        <v>92</v>
      </c>
      <c r="C60" s="3" t="s">
        <v>61</v>
      </c>
      <c r="D60" s="2" t="s">
        <v>11</v>
      </c>
      <c r="E60" s="2">
        <v>100</v>
      </c>
      <c r="F60" s="2"/>
      <c r="G60" s="2" t="str">
        <f t="shared" si="2"/>
        <v/>
      </c>
    </row>
    <row r="61" spans="1:7" x14ac:dyDescent="0.35">
      <c r="A61" s="2">
        <v>29</v>
      </c>
      <c r="B61" s="3" t="s">
        <v>93</v>
      </c>
      <c r="C61" s="3" t="s">
        <v>61</v>
      </c>
      <c r="D61" s="2" t="s">
        <v>11</v>
      </c>
      <c r="E61" s="2">
        <v>100</v>
      </c>
      <c r="F61" s="2"/>
      <c r="G61" s="2" t="str">
        <f t="shared" si="2"/>
        <v/>
      </c>
    </row>
    <row r="62" spans="1:7" x14ac:dyDescent="0.35">
      <c r="A62" s="7" t="s">
        <v>94</v>
      </c>
      <c r="B62" s="7"/>
      <c r="C62" s="7"/>
      <c r="D62" s="7"/>
      <c r="E62" s="7"/>
      <c r="F62" s="7"/>
      <c r="G62" s="7"/>
    </row>
    <row r="63" spans="1:7" ht="25" x14ac:dyDescent="0.35">
      <c r="A63" s="2">
        <v>42</v>
      </c>
      <c r="B63" s="3" t="s">
        <v>95</v>
      </c>
      <c r="C63" s="3" t="s">
        <v>96</v>
      </c>
      <c r="D63" s="2" t="s">
        <v>57</v>
      </c>
      <c r="E63" s="2">
        <v>5</v>
      </c>
      <c r="F63" s="2"/>
      <c r="G63" s="2" t="str">
        <f>IF(AND(E63&lt;&gt;"",F63&lt;&gt;""),E63*F63,"")</f>
        <v/>
      </c>
    </row>
    <row r="64" spans="1:7" x14ac:dyDescent="0.35">
      <c r="A64" s="2">
        <v>43</v>
      </c>
      <c r="B64" s="3" t="s">
        <v>97</v>
      </c>
      <c r="C64" s="3" t="s">
        <v>96</v>
      </c>
      <c r="D64" s="2" t="s">
        <v>57</v>
      </c>
      <c r="E64" s="2">
        <v>5</v>
      </c>
      <c r="F64" s="2"/>
      <c r="G64" s="2" t="str">
        <f>IF(AND(E64&lt;&gt;"",F64&lt;&gt;""),E64*F64,"")</f>
        <v/>
      </c>
    </row>
    <row r="65" spans="1:7" x14ac:dyDescent="0.35">
      <c r="A65" s="2">
        <v>44</v>
      </c>
      <c r="B65" s="3" t="s">
        <v>98</v>
      </c>
      <c r="C65" s="3" t="s">
        <v>96</v>
      </c>
      <c r="D65" s="2" t="s">
        <v>57</v>
      </c>
      <c r="E65" s="2">
        <v>5</v>
      </c>
      <c r="F65" s="2"/>
      <c r="G65" s="2" t="str">
        <f>IF(AND(E65&lt;&gt;"",F65&lt;&gt;""),E65*F65,"")</f>
        <v/>
      </c>
    </row>
    <row r="66" spans="1:7" x14ac:dyDescent="0.35">
      <c r="A66" s="7" t="s">
        <v>99</v>
      </c>
      <c r="B66" s="7"/>
      <c r="C66" s="7"/>
      <c r="D66" s="7"/>
      <c r="E66" s="7"/>
      <c r="F66" s="7"/>
      <c r="G66" s="7"/>
    </row>
    <row r="67" spans="1:7" x14ac:dyDescent="0.35">
      <c r="A67" s="2">
        <v>45</v>
      </c>
      <c r="B67" s="3" t="s">
        <v>100</v>
      </c>
      <c r="C67" s="3" t="s">
        <v>101</v>
      </c>
      <c r="D67" s="2" t="s">
        <v>11</v>
      </c>
      <c r="E67" s="2">
        <v>20</v>
      </c>
      <c r="F67" s="2"/>
      <c r="G67" s="2" t="str">
        <f>IF(AND(E67&lt;&gt;"",F67&lt;&gt;""),E67*F67,"")</f>
        <v/>
      </c>
    </row>
    <row r="68" spans="1:7" ht="25" x14ac:dyDescent="0.35">
      <c r="A68" s="2">
        <v>46</v>
      </c>
      <c r="B68" s="3" t="s">
        <v>102</v>
      </c>
      <c r="C68" s="3" t="s">
        <v>101</v>
      </c>
      <c r="D68" s="2" t="s">
        <v>11</v>
      </c>
      <c r="E68" s="2">
        <v>30</v>
      </c>
      <c r="F68" s="2"/>
      <c r="G68" s="2" t="str">
        <f>IF(AND(E68&lt;&gt;"",F68&lt;&gt;""),E68*F68,"")</f>
        <v/>
      </c>
    </row>
    <row r="69" spans="1:7" x14ac:dyDescent="0.35">
      <c r="A69" s="2">
        <v>47</v>
      </c>
      <c r="B69" s="3" t="s">
        <v>103</v>
      </c>
      <c r="C69" s="3" t="s">
        <v>101</v>
      </c>
      <c r="D69" s="2" t="s">
        <v>11</v>
      </c>
      <c r="E69" s="2">
        <v>10</v>
      </c>
      <c r="F69" s="2"/>
      <c r="G69" s="2" t="str">
        <f>IF(AND(E69&lt;&gt;"",F69&lt;&gt;""),E69*F69,"")</f>
        <v/>
      </c>
    </row>
    <row r="70" spans="1:7" x14ac:dyDescent="0.35">
      <c r="A70" s="9" t="s">
        <v>84</v>
      </c>
      <c r="B70" s="10"/>
      <c r="C70" s="10"/>
      <c r="D70" s="10"/>
      <c r="E70" s="10"/>
      <c r="F70" s="11"/>
      <c r="G70" s="4">
        <f>SUM(G5:G69)</f>
        <v>0</v>
      </c>
    </row>
    <row r="72" spans="1:7" x14ac:dyDescent="0.35">
      <c r="A72" s="8"/>
      <c r="B72" s="8"/>
      <c r="C72" s="8"/>
      <c r="D72" s="8"/>
      <c r="E72" s="8"/>
      <c r="F72" s="8"/>
      <c r="G72" s="8"/>
    </row>
    <row r="74" spans="1:7" x14ac:dyDescent="0.35">
      <c r="A74" s="8"/>
      <c r="B74" s="8"/>
      <c r="C74" s="8"/>
      <c r="D74" s="8"/>
      <c r="E74" s="8"/>
      <c r="F74" s="8"/>
      <c r="G74" s="8"/>
    </row>
  </sheetData>
  <mergeCells count="18">
    <mergeCell ref="A72:G72"/>
    <mergeCell ref="A74:G74"/>
    <mergeCell ref="A50:G50"/>
    <mergeCell ref="A55:G55"/>
    <mergeCell ref="A70:F70"/>
    <mergeCell ref="A57:G57"/>
    <mergeCell ref="A62:G62"/>
    <mergeCell ref="A66:G66"/>
    <mergeCell ref="A20:G20"/>
    <mergeCell ref="A24:G24"/>
    <mergeCell ref="A29:G29"/>
    <mergeCell ref="A36:G36"/>
    <mergeCell ref="A44:G44"/>
    <mergeCell ref="A1:F1"/>
    <mergeCell ref="A2:F2"/>
    <mergeCell ref="A5:G5"/>
    <mergeCell ref="A9:G9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Олег Сергеевич</cp:lastModifiedBy>
  <cp:revision>0</cp:revision>
  <dcterms:created xsi:type="dcterms:W3CDTF">2026-09-21T14:27:48Z</dcterms:created>
  <dcterms:modified xsi:type="dcterms:W3CDTF">2026-09-23T11:32:02Z</dcterms:modified>
  <dc:language>en-US</dc:language>
</cp:coreProperties>
</file>