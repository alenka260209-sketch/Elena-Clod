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name="НДС по юрлицам" sheetId="1" state="visible" r:id="rId1"/>
    <sheet name="Пороги и риски" sheetId="2" state="visible" r:id="rId2"/>
    <sheet name="Чек-лист" sheetId="3" state="visible" r:id="rId3"/>
    <sheet name="Доходы 2026 по месяцам" sheetId="4" state="visible" r:id="rId4"/>
    <sheet name="Пояснения" sheetId="5" state="visible" r:id="rId5"/>
    <sheet name="актив про " sheetId="6" state="visible" r:id="rId6"/>
    <sheet name="лгкие деньки " sheetId="7" state="visible" r:id="rId7"/>
    <sheet name="рожков 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0.0"/>
  </numFmts>
  <fonts count="20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Arial"/>
      <charset val="204"/>
      <family val="2"/>
      <sz val="8"/>
    </font>
    <font>
      <name val="Arial"/>
      <charset val="204"/>
      <family val="2"/>
      <color indexed="21"/>
      <sz val="10"/>
    </font>
    <font>
      <name val="Arial"/>
      <charset val="204"/>
      <family val="2"/>
      <color indexed="21"/>
      <sz val="9"/>
    </font>
    <font>
      <name val="Arial"/>
      <charset val="204"/>
      <family val="2"/>
      <sz val="9"/>
    </font>
    <font>
      <name val="Arial"/>
      <charset val="204"/>
      <family val="2"/>
      <b val="1"/>
      <color indexed="21"/>
      <sz val="10"/>
    </font>
    <font>
      <name val="Arial"/>
      <b val="1"/>
      <sz val="10"/>
    </font>
    <font>
      <name val="Arial"/>
      <b val="1"/>
      <sz val="12"/>
    </font>
    <font>
      <name val="Arial"/>
      <sz val="8"/>
    </font>
    <font>
      <name val="Arial"/>
      <color indexed="21"/>
      <sz val="10"/>
    </font>
    <font>
      <name val="Arial"/>
      <color indexed="21"/>
      <sz val="9"/>
    </font>
    <font>
      <name val="Arial"/>
      <sz val="9"/>
    </font>
    <font>
      <name val="Arial"/>
      <b val="1"/>
      <color indexed="21"/>
      <sz val="10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0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center" wrapText="1"/>
    </xf>
    <xf numFmtId="0" fontId="5" fillId="0" borderId="0" pivotButton="0" quotePrefix="0" xfId="1"/>
    <xf numFmtId="0" fontId="3" fillId="0" borderId="0" applyAlignment="1" pivotButton="0" quotePrefix="0" xfId="1">
      <alignment wrapText="1"/>
    </xf>
    <xf numFmtId="0" fontId="3" fillId="0" borderId="0" pivotButton="0" quotePrefix="0" xfId="1"/>
    <xf numFmtId="0" fontId="6" fillId="0" borderId="0" applyAlignment="1" pivotButton="0" quotePrefix="0" xfId="1">
      <alignment vertical="top" wrapText="1"/>
    </xf>
    <xf numFmtId="0" fontId="7" fillId="4" borderId="2" applyAlignment="1" pivotButton="0" quotePrefix="0" xfId="1">
      <alignment vertical="top" wrapText="1"/>
    </xf>
    <xf numFmtId="0" fontId="7" fillId="4" borderId="5" applyAlignment="1" pivotButton="0" quotePrefix="0" xfId="1">
      <alignment vertical="top" wrapText="1"/>
    </xf>
    <xf numFmtId="0" fontId="7" fillId="4" borderId="5" applyAlignment="1" pivotButton="0" quotePrefix="0" xfId="1">
      <alignment horizontal="right" vertical="top" wrapText="1"/>
    </xf>
    <xf numFmtId="0" fontId="8" fillId="4" borderId="5" applyAlignment="1" pivotButton="0" quotePrefix="0" xfId="1">
      <alignment vertical="top" wrapText="1" indent="1"/>
    </xf>
    <xf numFmtId="0" fontId="8" fillId="4" borderId="5" applyAlignment="1" pivotButton="0" quotePrefix="0" xfId="1">
      <alignment horizontal="right" vertical="top" wrapText="1"/>
    </xf>
    <xf numFmtId="0" fontId="9" fillId="0" borderId="5" applyAlignment="1" pivotButton="0" quotePrefix="0" xfId="1">
      <alignment vertical="top"/>
    </xf>
    <xf numFmtId="0" fontId="9" fillId="0" borderId="5" applyAlignment="1" pivotButton="0" quotePrefix="0" xfId="1">
      <alignment vertical="top" wrapText="1" indent="2"/>
    </xf>
    <xf numFmtId="4" fontId="9" fillId="0" borderId="5" applyAlignment="1" pivotButton="0" quotePrefix="0" xfId="1">
      <alignment horizontal="right" vertical="top" wrapText="1"/>
    </xf>
    <xf numFmtId="0" fontId="9" fillId="0" borderId="5" applyAlignment="1" pivotButton="0" quotePrefix="0" xfId="1">
      <alignment horizontal="right" vertical="top" wrapText="1"/>
    </xf>
    <xf numFmtId="0" fontId="9" fillId="0" borderId="5" applyAlignment="1" pivotButton="0" quotePrefix="0" xfId="1">
      <alignment vertical="top" wrapText="1" indent="3"/>
    </xf>
    <xf numFmtId="0" fontId="8" fillId="4" borderId="5" applyAlignment="1" pivotButton="0" quotePrefix="0" xfId="1">
      <alignment vertical="top"/>
    </xf>
    <xf numFmtId="4" fontId="8" fillId="4" borderId="5" applyAlignment="1" pivotButton="0" quotePrefix="0" xfId="1">
      <alignment horizontal="right" vertical="top" wrapText="1"/>
    </xf>
    <xf numFmtId="0" fontId="10" fillId="4" borderId="5" applyAlignment="1" pivotButton="0" quotePrefix="0" xfId="1">
      <alignment vertical="top"/>
    </xf>
    <xf numFmtId="0" fontId="10" fillId="4" borderId="5" applyAlignment="1" pivotButton="0" quotePrefix="0" xfId="1">
      <alignment vertical="top" wrapText="1"/>
    </xf>
    <xf numFmtId="4" fontId="10" fillId="4" borderId="5" applyAlignment="1" pivotButton="0" quotePrefix="0" xfId="1">
      <alignment horizontal="right" vertical="top" wrapText="1"/>
    </xf>
    <xf numFmtId="0" fontId="10" fillId="4" borderId="5" applyAlignment="1" pivotButton="0" quotePrefix="0" xfId="1">
      <alignment horizontal="right" vertical="top" wrapText="1"/>
    </xf>
    <xf numFmtId="0" fontId="3" fillId="0" borderId="0" applyAlignment="1" pivotButton="0" quotePrefix="0" xfId="2">
      <alignment wrapText="1"/>
    </xf>
    <xf numFmtId="0" fontId="3" fillId="0" borderId="0" pivotButton="0" quotePrefix="0" xfId="2"/>
    <xf numFmtId="0" fontId="2" fillId="5" borderId="0" pivotButton="0" quotePrefix="0" xfId="0"/>
    <xf numFmtId="0" fontId="2" fillId="0" borderId="0" pivotButton="0" quotePrefix="0" xfId="0"/>
    <xf numFmtId="0" fontId="4" fillId="0" borderId="0" applyAlignment="1" pivotButton="0" quotePrefix="0" xfId="1">
      <alignment wrapText="1"/>
    </xf>
    <xf numFmtId="0" fontId="3" fillId="0" borderId="0" applyAlignment="1" pivotButton="0" quotePrefix="0" xfId="1">
      <alignment horizontal="center" wrapText="1"/>
    </xf>
    <xf numFmtId="0" fontId="6" fillId="0" borderId="0" applyAlignment="1" pivotButton="0" quotePrefix="0" xfId="1">
      <alignment vertical="top" wrapText="1"/>
    </xf>
    <xf numFmtId="0" fontId="6" fillId="0" borderId="0" applyAlignment="1" pivotButton="0" quotePrefix="0" xfId="1">
      <alignment horizontal="center" vertical="top" wrapText="1"/>
    </xf>
    <xf numFmtId="0" fontId="7" fillId="4" borderId="3" applyAlignment="1" pivotButton="0" quotePrefix="0" xfId="1">
      <alignment vertical="top" wrapText="1"/>
    </xf>
    <xf numFmtId="0" fontId="7" fillId="4" borderId="4" applyAlignment="1" pivotButton="0" quotePrefix="0" xfId="1">
      <alignment vertical="top" wrapText="1"/>
    </xf>
    <xf numFmtId="0" fontId="3" fillId="0" borderId="0" applyAlignment="1" pivotButton="0" quotePrefix="0" xfId="2">
      <alignment horizontal="center" wrapText="1"/>
    </xf>
    <xf numFmtId="0" fontId="11" fillId="0" borderId="0" applyAlignment="1" pivotButton="0" quotePrefix="0" xfId="3">
      <alignment wrapText="1"/>
    </xf>
    <xf numFmtId="0" fontId="3" fillId="0" borderId="0" applyAlignment="1" pivotButton="0" quotePrefix="0" xfId="3">
      <alignment horizontal="center" wrapText="1"/>
    </xf>
    <xf numFmtId="0" fontId="12" fillId="0" borderId="0" pivotButton="0" quotePrefix="0" xfId="3"/>
    <xf numFmtId="0" fontId="3" fillId="0" borderId="0" applyAlignment="1" pivotButton="0" quotePrefix="0" xfId="3">
      <alignment wrapText="1"/>
    </xf>
    <xf numFmtId="0" fontId="3" fillId="0" borderId="0" pivotButton="0" quotePrefix="0" xfId="3"/>
    <xf numFmtId="0" fontId="13" fillId="0" borderId="0" applyAlignment="1" pivotButton="0" quotePrefix="0" xfId="3">
      <alignment vertical="top" wrapText="1"/>
    </xf>
    <xf numFmtId="0" fontId="13" fillId="0" borderId="0" applyAlignment="1" pivotButton="0" quotePrefix="0" xfId="3">
      <alignment horizontal="center" vertical="top" wrapText="1"/>
    </xf>
    <xf numFmtId="0" fontId="13" fillId="0" borderId="0" applyAlignment="1" pivotButton="0" quotePrefix="0" xfId="3">
      <alignment vertical="top" wrapText="1"/>
    </xf>
    <xf numFmtId="0" fontId="14" fillId="4" borderId="2" applyAlignment="1" pivotButton="0" quotePrefix="0" xfId="3">
      <alignment vertical="top" wrapText="1"/>
    </xf>
    <xf numFmtId="0" fontId="14" fillId="4" borderId="3" applyAlignment="1" pivotButton="0" quotePrefix="0" xfId="3">
      <alignment vertical="top" wrapText="1"/>
    </xf>
    <xf numFmtId="0" fontId="14" fillId="4" borderId="4" applyAlignment="1" pivotButton="0" quotePrefix="0" xfId="3">
      <alignment vertical="top" wrapText="1"/>
    </xf>
    <xf numFmtId="0" fontId="14" fillId="4" borderId="5" applyAlignment="1" pivotButton="0" quotePrefix="0" xfId="3">
      <alignment vertical="top" wrapText="1"/>
    </xf>
    <xf numFmtId="4" fontId="14" fillId="4" borderId="5" applyAlignment="1" pivotButton="0" quotePrefix="0" xfId="3">
      <alignment horizontal="right" vertical="top" wrapText="1"/>
    </xf>
    <xf numFmtId="0" fontId="14" fillId="4" borderId="5" applyAlignment="1" pivotButton="0" quotePrefix="0" xfId="3">
      <alignment horizontal="right" vertical="top" wrapText="1"/>
    </xf>
    <xf numFmtId="0" fontId="15" fillId="4" borderId="5" applyAlignment="1" pivotButton="0" quotePrefix="0" xfId="3">
      <alignment vertical="top" wrapText="1" indent="2"/>
    </xf>
    <xf numFmtId="4" fontId="15" fillId="4" borderId="5" applyAlignment="1" pivotButton="0" quotePrefix="0" xfId="3">
      <alignment horizontal="right" vertical="top" wrapText="1"/>
    </xf>
    <xf numFmtId="0" fontId="15" fillId="4" borderId="5" applyAlignment="1" pivotButton="0" quotePrefix="0" xfId="3">
      <alignment horizontal="right" vertical="top" wrapText="1"/>
    </xf>
    <xf numFmtId="0" fontId="16" fillId="0" borderId="5" applyAlignment="1" pivotButton="0" quotePrefix="0" xfId="3">
      <alignment vertical="top"/>
    </xf>
    <xf numFmtId="0" fontId="16" fillId="0" borderId="5" applyAlignment="1" pivotButton="0" quotePrefix="0" xfId="3">
      <alignment vertical="top" wrapText="1" indent="4"/>
    </xf>
    <xf numFmtId="4" fontId="16" fillId="0" borderId="5" applyAlignment="1" pivotButton="0" quotePrefix="0" xfId="3">
      <alignment horizontal="right" vertical="top" wrapText="1"/>
    </xf>
    <xf numFmtId="0" fontId="16" fillId="0" borderId="5" applyAlignment="1" pivotButton="0" quotePrefix="0" xfId="3">
      <alignment vertical="top" wrapText="1" indent="6"/>
    </xf>
    <xf numFmtId="0" fontId="16" fillId="0" borderId="5" applyAlignment="1" pivotButton="0" quotePrefix="0" xfId="3">
      <alignment horizontal="right" vertical="top" wrapText="1"/>
    </xf>
    <xf numFmtId="0" fontId="15" fillId="4" borderId="5" applyAlignment="1" pivotButton="0" quotePrefix="0" xfId="3">
      <alignment vertical="top" indent="2"/>
    </xf>
    <xf numFmtId="2" fontId="16" fillId="0" borderId="5" applyAlignment="1" pivotButton="0" quotePrefix="0" xfId="3">
      <alignment horizontal="right" vertical="top" wrapText="1"/>
    </xf>
    <xf numFmtId="0" fontId="17" fillId="4" borderId="5" applyAlignment="1" pivotButton="0" quotePrefix="0" xfId="3">
      <alignment vertical="top"/>
    </xf>
    <xf numFmtId="0" fontId="17" fillId="4" borderId="5" applyAlignment="1" pivotButton="0" quotePrefix="0" xfId="3">
      <alignment vertical="top" wrapText="1"/>
    </xf>
    <xf numFmtId="4" fontId="17" fillId="4" borderId="5" applyAlignment="1" pivotButton="0" quotePrefix="0" xfId="3">
      <alignment horizontal="right" vertical="top" wrapText="1"/>
    </xf>
    <xf numFmtId="0" fontId="17" fillId="4" borderId="5" applyAlignment="1" pivotButton="0" quotePrefix="0" xfId="3">
      <alignment horizontal="right" vertical="top" wrapText="1"/>
    </xf>
    <xf numFmtId="0" fontId="11" fillId="0" borderId="0" applyAlignment="1" pivotButton="0" quotePrefix="0" xfId="2">
      <alignment wrapText="1"/>
    </xf>
    <xf numFmtId="0" fontId="12" fillId="0" borderId="0" pivotButton="0" quotePrefix="0" xfId="2"/>
    <xf numFmtId="0" fontId="13" fillId="0" borderId="0" applyAlignment="1" pivotButton="0" quotePrefix="0" xfId="2">
      <alignment vertical="top" wrapText="1"/>
    </xf>
    <xf numFmtId="0" fontId="13" fillId="0" borderId="0" applyAlignment="1" pivotButton="0" quotePrefix="0" xfId="2">
      <alignment horizontal="center" vertical="top" wrapText="1"/>
    </xf>
    <xf numFmtId="0" fontId="13" fillId="0" borderId="0" applyAlignment="1" pivotButton="0" quotePrefix="0" xfId="2">
      <alignment vertical="top" wrapText="1"/>
    </xf>
    <xf numFmtId="0" fontId="14" fillId="4" borderId="2" applyAlignment="1" pivotButton="0" quotePrefix="0" xfId="2">
      <alignment vertical="top" wrapText="1"/>
    </xf>
    <xf numFmtId="0" fontId="14" fillId="4" borderId="3" applyAlignment="1" pivotButton="0" quotePrefix="0" xfId="2">
      <alignment vertical="top" wrapText="1"/>
    </xf>
    <xf numFmtId="0" fontId="14" fillId="4" borderId="4" applyAlignment="1" pivotButton="0" quotePrefix="0" xfId="2">
      <alignment vertical="top" wrapText="1"/>
    </xf>
    <xf numFmtId="0" fontId="14" fillId="4" borderId="5" applyAlignment="1" pivotButton="0" quotePrefix="0" xfId="2">
      <alignment vertical="top" wrapText="1"/>
    </xf>
    <xf numFmtId="4" fontId="14" fillId="4" borderId="5" applyAlignment="1" pivotButton="0" quotePrefix="0" xfId="2">
      <alignment horizontal="right" vertical="top" wrapText="1"/>
    </xf>
    <xf numFmtId="0" fontId="14" fillId="4" borderId="5" applyAlignment="1" pivotButton="0" quotePrefix="0" xfId="2">
      <alignment horizontal="right" vertical="top" wrapText="1"/>
    </xf>
    <xf numFmtId="0" fontId="15" fillId="4" borderId="5" applyAlignment="1" pivotButton="0" quotePrefix="0" xfId="2">
      <alignment vertical="top" wrapText="1" indent="1"/>
    </xf>
    <xf numFmtId="4" fontId="15" fillId="4" borderId="5" applyAlignment="1" pivotButton="0" quotePrefix="0" xfId="2">
      <alignment horizontal="right" vertical="top" wrapText="1"/>
    </xf>
    <xf numFmtId="0" fontId="15" fillId="4" borderId="5" applyAlignment="1" pivotButton="0" quotePrefix="0" xfId="2">
      <alignment horizontal="right" vertical="top" wrapText="1"/>
    </xf>
    <xf numFmtId="0" fontId="16" fillId="0" borderId="5" applyAlignment="1" pivotButton="0" quotePrefix="0" xfId="2">
      <alignment vertical="top"/>
    </xf>
    <xf numFmtId="0" fontId="16" fillId="0" borderId="5" applyAlignment="1" pivotButton="0" quotePrefix="0" xfId="2">
      <alignment vertical="top" wrapText="1" indent="2"/>
    </xf>
    <xf numFmtId="0" fontId="16" fillId="0" borderId="5" applyAlignment="1" pivotButton="0" quotePrefix="0" xfId="2">
      <alignment horizontal="right" vertical="top" wrapText="1"/>
    </xf>
    <xf numFmtId="2" fontId="16" fillId="0" borderId="5" applyAlignment="1" pivotButton="0" quotePrefix="0" xfId="2">
      <alignment horizontal="right" vertical="top" wrapText="1"/>
    </xf>
    <xf numFmtId="0" fontId="16" fillId="0" borderId="5" applyAlignment="1" pivotButton="0" quotePrefix="0" xfId="2">
      <alignment vertical="top" wrapText="1" indent="3"/>
    </xf>
    <xf numFmtId="4" fontId="16" fillId="0" borderId="5" applyAlignment="1" pivotButton="0" quotePrefix="0" xfId="2">
      <alignment horizontal="right" vertical="top" wrapText="1"/>
    </xf>
    <xf numFmtId="0" fontId="15" fillId="4" borderId="5" applyAlignment="1" pivotButton="0" quotePrefix="0" xfId="2">
      <alignment vertical="top"/>
    </xf>
    <xf numFmtId="2" fontId="15" fillId="4" borderId="5" applyAlignment="1" pivotButton="0" quotePrefix="0" xfId="2">
      <alignment horizontal="right" vertical="top" wrapText="1"/>
    </xf>
    <xf numFmtId="0" fontId="17" fillId="4" borderId="5" applyAlignment="1" pivotButton="0" quotePrefix="0" xfId="2">
      <alignment vertical="top"/>
    </xf>
    <xf numFmtId="0" fontId="17" fillId="4" borderId="5" applyAlignment="1" pivotButton="0" quotePrefix="0" xfId="2">
      <alignment vertical="top" wrapText="1"/>
    </xf>
    <xf numFmtId="4" fontId="17" fillId="4" borderId="5" applyAlignment="1" pivotButton="0" quotePrefix="0" xfId="2">
      <alignment horizontal="right" vertical="top" wrapText="1"/>
    </xf>
    <xf numFmtId="0" fontId="17" fillId="4" borderId="5" applyAlignment="1" pivotButton="0" quotePrefix="0" xfId="2">
      <alignment horizontal="right" vertical="top" wrapText="1"/>
    </xf>
    <xf numFmtId="0" fontId="0" fillId="0" borderId="4" pivotButton="0" quotePrefix="0" xfId="0"/>
    <xf numFmtId="0" fontId="18" fillId="0" borderId="0" pivotButton="0" quotePrefix="0" xfId="0"/>
    <xf numFmtId="0" fontId="19" fillId="6" borderId="0" applyAlignment="1" pivotButton="0" quotePrefix="0" xfId="0">
      <alignment vertical="top" wrapText="1"/>
    </xf>
    <xf numFmtId="3" fontId="0" fillId="0" borderId="0" pivotButton="0" quotePrefix="0" xfId="0"/>
    <xf numFmtId="165" fontId="0" fillId="0" borderId="0" pivotButton="0" quotePrefix="0" xfId="0"/>
    <xf numFmtId="0" fontId="19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4">
    <cellStyle name="Обычный" xfId="0" builtinId="0"/>
    <cellStyle name="Обычный_Лист1" xfId="1"/>
    <cellStyle name="Обычный_лгкие деньки" xfId="2"/>
    <cellStyle name="Обычный_рожков" xfId="3"/>
  </cellStyles>
  <dxfs count="1">
    <dxf>
      <alignment horizontal="general" vertical="top" wrapText="1"/>
      <border>
        <left/>
        <right/>
        <top/>
        <bottom style="thin">
          <color rgb="FFD9E2F3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VATEntities" displayName="VATEntities" ref="A1:L6" headerRowCount="1">
  <autoFilter ref="A1:L6"/>
  <tableColumns count="12">
    <tableColumn id="1" name="Юридическое лицо / ИП"/>
    <tableColumn id="2" name="Режим налогообложения"/>
    <tableColumn id="3" name="Текущий статус НДС"/>
    <tableColumn id="14" name="Ставка НДС " dataDxfId="0"/>
    <tableColumn id="4" name="Ставка НДС"/>
    <tableColumn id="5" name="Ставка УСН/ Прибыль "/>
    <tableColumn id="6" name="Доходы за 2025 год, руб."/>
    <tableColumn id="7" name="Порог освобождения, руб."/>
    <tableColumn id="8" name="Статус на 01.01.2026"/>
    <tableColumn id="9" name="Доходы за 2026 год по месяцам (ввод)"/>
    <tableColumn id="10" name="Дата начала уплаты НДС по доходам 2026"/>
    <tableColumn id="11" name="Примечание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Income" displayName="MonthlyIncome" ref="A1:P5" headerRowCount="1">
  <autoFilter ref="A1:P5"/>
  <tableColumns count="16">
    <tableColumn id="1" name="Юридическое лицо / ИП"/>
    <tableColumn id="2" name="Январь"/>
    <tableColumn id="3" name="Февраль"/>
    <tableColumn id="4" name="Март"/>
    <tableColumn id="5" name="Апрель"/>
    <tableColumn id="6" name="Май"/>
    <tableColumn id="7" name="Июнь"/>
    <tableColumn id="8" name="Июль"/>
    <tableColumn id="9" name="Август"/>
    <tableColumn id="10" name="Сентябрь"/>
    <tableColumn id="11" name="Октябрь"/>
    <tableColumn id="12" name="Ноябрь"/>
    <tableColumn id="13" name="Декабрь"/>
    <tableColumn id="14" name="Итого за 2026"/>
    <tableColumn id="15" name="Месяц превышения порога"/>
    <tableColumn id="16" name="Начало уплаты НД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22" customWidth="1" min="1" max="1"/>
    <col width="9.85546875" customWidth="1" min="2" max="2"/>
    <col width="15.5703125" customWidth="1" min="3" max="3"/>
    <col width="25.140625" customWidth="1" min="4" max="4"/>
    <col width="9.7109375" customWidth="1" min="5" max="5"/>
    <col width="12" customWidth="1" min="6" max="6"/>
    <col width="15.7109375" customWidth="1" min="7" max="7"/>
    <col width="11.85546875" customWidth="1" min="8" max="8"/>
    <col width="12.5703125" customWidth="1" min="9" max="9"/>
    <col width="14.140625" customWidth="1" min="10" max="10"/>
    <col width="12.7109375" customWidth="1" min="11" max="11"/>
    <col width="33" customWidth="1" min="12" max="12"/>
    <col width="26.28515625" customWidth="1" min="13" max="13"/>
  </cols>
  <sheetData>
    <row r="1" ht="42" customHeight="1">
      <c r="A1" s="1" t="inlineStr">
        <is>
          <t>Юридическое лицо / ИП</t>
        </is>
      </c>
      <c r="B1" s="1" t="inlineStr">
        <is>
          <t>Режим налогообложения</t>
        </is>
      </c>
      <c r="C1" s="1" t="inlineStr">
        <is>
          <t>Текущий статус НДС</t>
        </is>
      </c>
      <c r="D1" s="1" t="inlineStr">
        <is>
          <t xml:space="preserve">Ставка НДС </t>
        </is>
      </c>
      <c r="E1" s="1" t="inlineStr">
        <is>
          <t>Ставка НДС</t>
        </is>
      </c>
      <c r="F1" s="1" t="inlineStr">
        <is>
          <t xml:space="preserve">Ставка УСН/ Прибыль </t>
        </is>
      </c>
      <c r="G1" s="1" t="inlineStr">
        <is>
          <t>Доходы за 2025 год, руб.</t>
        </is>
      </c>
      <c r="H1" s="1" t="inlineStr">
        <is>
          <t>Порог освобождения, руб.</t>
        </is>
      </c>
      <c r="I1" s="1" t="inlineStr">
        <is>
          <t>Статус на 01.01.2026</t>
        </is>
      </c>
      <c r="J1" s="1" t="inlineStr">
        <is>
          <t>Доходы за 2026 год по месяцам (ввод)</t>
        </is>
      </c>
      <c r="K1" s="1" t="inlineStr">
        <is>
          <t>Дата начала уплаты НДС по доходам 2026</t>
        </is>
      </c>
      <c r="L1" s="1" t="inlineStr">
        <is>
          <t xml:space="preserve">Примечание </t>
        </is>
      </c>
    </row>
    <row r="2" ht="30" customHeight="1">
      <c r="A2" s="2" t="inlineStr">
        <is>
          <t>Аргумент</t>
        </is>
      </c>
      <c r="B2" s="2" t="inlineStr">
        <is>
          <t>ОСНО</t>
        </is>
      </c>
      <c r="C2" s="2" t="inlineStr">
        <is>
          <t>Плательщик НДС</t>
        </is>
      </c>
      <c r="D2" s="8" t="n">
        <v>0.22</v>
      </c>
      <c r="E2" s="2" t="inlineStr">
        <is>
          <t>22%</t>
        </is>
      </c>
      <c r="F2" s="9" t="n">
        <v>0.25</v>
      </c>
      <c r="G2" s="3" t="n"/>
      <c r="H2" s="4" t="n"/>
      <c r="I2" s="2" t="n"/>
      <c r="J2" s="5" t="n"/>
      <c r="K2" s="6" t="n"/>
    </row>
    <row r="3" ht="43.5" customHeight="1">
      <c r="A3" s="2" t="inlineStr">
        <is>
          <t>ИП Рожков</t>
        </is>
      </c>
      <c r="B3" s="2" t="inlineStr">
        <is>
          <t>УСН «доходы»</t>
        </is>
      </c>
      <c r="C3" s="2" t="inlineStr">
        <is>
          <t>Плательщик НДС (с 2024 г., по данным компании)</t>
        </is>
      </c>
      <c r="D3" s="2" t="inlineStr">
        <is>
          <t>Указана действующая ставка НДС 5%. .</t>
        </is>
      </c>
      <c r="E3" s="2" t="inlineStr">
        <is>
          <t>5%</t>
        </is>
      </c>
      <c r="F3" s="2" t="inlineStr">
        <is>
          <t>1%</t>
        </is>
      </c>
      <c r="G3" s="3" t="n">
        <v>146404735.93</v>
      </c>
      <c r="H3" s="4" t="n">
        <v>20000000</v>
      </c>
      <c r="I3" s="2">
        <f>IF(G3="","Заполнить доходы за 2025 год",IF(G3&gt;20000000,"НДС с 01.01.2026",IF(J3&gt;20000000,"НДС с месяца после превышения в 2026","Освобождение при доходе до 20 млн руб.")))</f>
        <v/>
      </c>
      <c r="J3" s="5">
        <f>'Доходы 2026 по месяцам'!N2</f>
        <v/>
      </c>
      <c r="K3" s="6" t="inlineStr">
        <is>
          <t>Не применяется — уже плательщик НДС</t>
        </is>
      </c>
      <c r="L3" t="inlineStr">
        <is>
          <t>Ставка 5 % действует, пока доход с начала года ≤ 272,5 млн руб. При превышении — 7 % с 1-го числа следующего месяца. См. лист «Пороги и риски».</t>
        </is>
      </c>
    </row>
    <row r="4" ht="99.75" customHeight="1">
      <c r="A4" s="2" t="inlineStr">
        <is>
          <t>Легкие деньки</t>
        </is>
      </c>
      <c r="B4" s="2" t="inlineStr">
        <is>
          <t>УСН «доходы минус раходы »</t>
        </is>
      </c>
      <c r="C4" s="2" t="inlineStr">
        <is>
          <t xml:space="preserve">Не плательщик НДС </t>
        </is>
      </c>
      <c r="D4" s="2" t="inlineStr">
        <is>
          <t>Порог 20 млн руб. применяется к организациям/ИП на УСН, имеющим право на освобождение. На ОСНО освобождение по этому порогу не применяется.</t>
        </is>
      </c>
      <c r="E4" s="2" t="inlineStr">
        <is>
          <t>Без НДС</t>
        </is>
      </c>
      <c r="F4" s="2" t="inlineStr">
        <is>
          <t>Уточнить</t>
        </is>
      </c>
      <c r="G4" s="3" t="n">
        <v>0</v>
      </c>
      <c r="H4" s="4" t="n">
        <v>20000000</v>
      </c>
      <c r="I4" s="2">
        <f>IF(G4="","Заполнить доходы за 2025 год",IF(G4&gt;20000000,"НДС с 01.01.2026",IF(J4&gt;20000000,"НДС с месяца после превышения в 2026","Освобождение при доходе до 20 млн руб.")))</f>
        <v/>
      </c>
      <c r="J4" s="5">
        <f>'Доходы 2026 по месяцам'!N3</f>
        <v/>
      </c>
      <c r="K4" s="6">
        <f>'Доходы 2026 по месяцам'!P3</f>
        <v/>
      </c>
    </row>
    <row r="5" ht="51" customHeight="1">
      <c r="A5" s="2" t="inlineStr">
        <is>
          <t>Эль Карго</t>
        </is>
      </c>
      <c r="B5" s="2" t="inlineStr">
        <is>
          <t>УСН «доход»</t>
        </is>
      </c>
      <c r="C5" s="2" t="inlineStr">
        <is>
          <t xml:space="preserve">Не плательщик НДС </t>
        </is>
      </c>
      <c r="D5" s="2" t="inlineStr">
        <is>
          <t>Порог 20 млн руб. применяется к организациям/ИП на УСН, имеющим право на освобождение. На ОСНО освобождение по этому порогу не применяется.</t>
        </is>
      </c>
      <c r="E5" s="2" t="inlineStr">
        <is>
          <t>Без НДС</t>
        </is>
      </c>
      <c r="F5" s="2" t="inlineStr">
        <is>
          <t>Уточнить</t>
        </is>
      </c>
      <c r="G5" s="3" t="n">
        <v>887500</v>
      </c>
      <c r="H5" s="4" t="n">
        <v>20000000</v>
      </c>
      <c r="I5" s="2">
        <f>IF(G5="","Заполнить доходы за 2025 год",IF(G5&gt;20000000,"НДС с 01.01.2026",IF(J5&gt;20000000,"НДС с месяца после превышения в 2026","Освобождение при доходе до 20 млн руб.")))</f>
        <v/>
      </c>
      <c r="J5" s="5">
        <f>'Доходы 2026 по месяцам'!N4</f>
        <v/>
      </c>
      <c r="K5" s="6">
        <f>'Доходы 2026 по месяцам'!P4</f>
        <v/>
      </c>
    </row>
    <row r="6" ht="140.25" customHeight="1">
      <c r="A6" s="2" t="inlineStr">
        <is>
          <t>Актив Про</t>
        </is>
      </c>
      <c r="B6" s="2" t="inlineStr">
        <is>
          <t>УСН «доходы минус раходы »</t>
        </is>
      </c>
      <c r="C6" s="2" t="inlineStr">
        <is>
          <t xml:space="preserve">Не плательщик НДС </t>
        </is>
      </c>
      <c r="D6" s="2" t="inlineStr">
        <is>
          <t>Порог 20 млн руб. применяется к организациям/ИП на УСН, имеющим право на освобождение. На ОСНО освобождение по этому порогу не применяется.</t>
        </is>
      </c>
      <c r="E6" s="2" t="inlineStr">
        <is>
          <t>Без НДС</t>
        </is>
      </c>
      <c r="F6" s="2" t="inlineStr">
        <is>
          <t>Уточнить</t>
        </is>
      </c>
      <c r="G6" s="3" t="n">
        <v>0</v>
      </c>
      <c r="H6" s="4" t="n">
        <v>20000000</v>
      </c>
      <c r="I6" s="2">
        <f>IF(G6="","Заполнить доходы за 2025 год",IF(G6&gt;20000000,"НДС с 01.01.2026",IF(J6&gt;20000000,"НДС с месяца после превышения в 2026","Освобождение при доходе до 20 млн руб.")))</f>
        <v/>
      </c>
      <c r="J6" s="5">
        <f>'Доходы 2026 по месяцам'!N5</f>
        <v/>
      </c>
      <c r="K6" s="6">
        <f>'Доходы 2026 по месяцам'!P5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  <col width="20" customWidth="1" min="5" max="5"/>
    <col width="16" customWidth="1" min="6" max="6"/>
    <col width="18" customWidth="1" min="7" max="7"/>
    <col width="20" customWidth="1" min="8" max="8"/>
    <col width="34" customWidth="1" min="9" max="9"/>
    <col width="18" customWidth="1" min="10" max="10"/>
  </cols>
  <sheetData>
    <row r="1">
      <c r="A1" s="96" t="inlineStr">
        <is>
          <t>Пороги НДС на УСН в 2026 году</t>
        </is>
      </c>
    </row>
    <row r="2">
      <c r="A2" t="inlineStr">
        <is>
          <t>Освобождение от НДС, руб.</t>
        </is>
      </c>
      <c r="B2" t="n">
        <v>20000000</v>
      </c>
    </row>
    <row r="3">
      <c r="A3" t="inlineStr">
        <is>
          <t>Ставка 5 % — доход до, руб.</t>
        </is>
      </c>
      <c r="B3" t="n">
        <v>272500000</v>
      </c>
    </row>
    <row r="4">
      <c r="A4" t="inlineStr">
        <is>
          <t>Ставка 7 % — доход до (и лимит УСН), руб.</t>
        </is>
      </c>
      <c r="B4" t="n">
        <v>490500000</v>
      </c>
    </row>
    <row r="5">
      <c r="A5" t="inlineStr">
        <is>
          <t>Прошло месяцев 2026 (данные по)</t>
        </is>
      </c>
      <c r="B5" t="n">
        <v>9</v>
      </c>
    </row>
    <row r="7" ht="45" customHeight="1">
      <c r="A7" s="97" t="inlineStr">
        <is>
          <t>Юрлицо</t>
        </is>
      </c>
      <c r="B7" s="97" t="inlineStr">
        <is>
          <t>Ставка НДС сейчас</t>
        </is>
      </c>
      <c r="C7" s="97" t="inlineStr">
        <is>
          <t>Доход янв–сен 2026</t>
        </is>
      </c>
      <c r="D7" s="97" t="inlineStr">
        <is>
          <t>Средний доход в месяц</t>
        </is>
      </c>
      <c r="E7" s="97" t="inlineStr">
        <is>
          <t>Прогноз на год (по среднему)</t>
        </is>
      </c>
      <c r="F7" s="97" t="inlineStr">
        <is>
          <t>Ближайший порог</t>
        </is>
      </c>
      <c r="G7" s="97" t="inlineStr">
        <is>
          <t>Запас до порога</t>
        </is>
      </c>
      <c r="H7" s="97" t="inlineStr">
        <is>
          <t>Сколько месяцев выдержит при среднем доходе</t>
        </is>
      </c>
      <c r="I7" s="97" t="inlineStr">
        <is>
          <t>Риск</t>
        </is>
      </c>
      <c r="J7" s="97" t="inlineStr">
        <is>
          <t>Доход за последний месяц (сентябрь)</t>
        </is>
      </c>
    </row>
    <row r="8">
      <c r="A8" t="inlineStr">
        <is>
          <t>ИП Рожков</t>
        </is>
      </c>
      <c r="B8" t="inlineStr">
        <is>
          <t>5%</t>
        </is>
      </c>
      <c r="C8" s="98">
        <f>'Доходы 2026 по месяцам'!N2</f>
        <v/>
      </c>
      <c r="D8" s="98">
        <f>C8/$B$5</f>
        <v/>
      </c>
      <c r="E8" s="98">
        <f>D8*12</f>
        <v/>
      </c>
      <c r="F8" s="98">
        <f>$B$3</f>
        <v/>
      </c>
      <c r="G8" s="98">
        <f>F8-C8</f>
        <v/>
      </c>
      <c r="H8" s="99">
        <f>IF(D8=0,"нет поступлений",G8/D8)</f>
        <v/>
      </c>
      <c r="I8">
        <f>IF(G8&lt;=0,"ПОРОГ ПРЕВЫШЕН",IF(OR(E8&gt;F8,AND(J8&gt;0,G8&lt;J8)),"ВЫСОКИЙ: может превысить в ближайший месяц / до конца года",IF(E8&gt;F8*0.8,"СРЕДНИЙ: прогноз больше 80 % порога","НИЗКИЙ")))</f>
        <v/>
      </c>
      <c r="J8" s="98">
        <f>'Доходы 2026 по месяцам'!J2</f>
        <v/>
      </c>
    </row>
    <row r="9">
      <c r="A9" t="inlineStr">
        <is>
          <t>Легкие деньки</t>
        </is>
      </c>
      <c r="B9" t="inlineStr">
        <is>
          <t>Без НДС</t>
        </is>
      </c>
      <c r="C9" s="98">
        <f>'Доходы 2026 по месяцам'!N3</f>
        <v/>
      </c>
      <c r="D9" s="98">
        <f>C9/$B$5</f>
        <v/>
      </c>
      <c r="E9" s="98">
        <f>D9*12</f>
        <v/>
      </c>
      <c r="F9" s="98">
        <f>$B$2</f>
        <v/>
      </c>
      <c r="G9" s="98">
        <f>F9-C9</f>
        <v/>
      </c>
      <c r="H9" s="99">
        <f>IF(D9=0,"нет поступлений",G9/D9)</f>
        <v/>
      </c>
      <c r="I9">
        <f>IF(G9&lt;=0,"ПОРОГ ПРЕВЫШЕН",IF(OR(E9&gt;F9,AND(J9&gt;0,G9&lt;J9)),"ВЫСОКИЙ: может превысить в ближайший месяц / до конца года",IF(E9&gt;F9*0.8,"СРЕДНИЙ: прогноз больше 80 % порога","НИЗКИЙ")))</f>
        <v/>
      </c>
      <c r="J9" s="98">
        <f>'Доходы 2026 по месяцам'!J3</f>
        <v/>
      </c>
    </row>
    <row r="10">
      <c r="A10" t="inlineStr">
        <is>
          <t>Актив Про</t>
        </is>
      </c>
      <c r="B10" t="inlineStr">
        <is>
          <t>Без НДС</t>
        </is>
      </c>
      <c r="C10" s="98">
        <f>'Доходы 2026 по месяцам'!N5</f>
        <v/>
      </c>
      <c r="D10" s="98">
        <f>C10/$B$5</f>
        <v/>
      </c>
      <c r="E10" s="98">
        <f>D10*12</f>
        <v/>
      </c>
      <c r="F10" s="98">
        <f>$B$2</f>
        <v/>
      </c>
      <c r="G10" s="98">
        <f>F10-C10</f>
        <v/>
      </c>
      <c r="H10" s="99">
        <f>IF(D10=0,"нет поступлений",G10/D10)</f>
        <v/>
      </c>
      <c r="I10">
        <f>IF(G10&lt;=0,"ПОРОГ ПРЕВЫШЕН",IF(OR(E10&gt;F10,AND(J10&gt;0,G10&lt;J10)),"ВЫСОКИЙ: может превысить в ближайший месяц / до конца года",IF(E10&gt;F10*0.8,"СРЕДНИЙ: прогноз больше 80 % порога","НИЗКИЙ")))</f>
        <v/>
      </c>
      <c r="J10" s="98">
        <f>'Доходы 2026 по месяцам'!J5</f>
        <v/>
      </c>
    </row>
    <row r="11">
      <c r="A11" t="inlineStr">
        <is>
          <t>Эль Карго</t>
        </is>
      </c>
      <c r="B11" t="inlineStr">
        <is>
          <t>Без НДС (нет данных)</t>
        </is>
      </c>
      <c r="C11" s="98">
        <f>'Доходы 2026 по месяцам'!N4</f>
        <v/>
      </c>
      <c r="D11" s="98">
        <f>C11/$B$5</f>
        <v/>
      </c>
      <c r="E11" s="98">
        <f>D11*12</f>
        <v/>
      </c>
      <c r="F11" s="98">
        <f>$B$2</f>
        <v/>
      </c>
      <c r="G11" s="98">
        <f>F11-C11</f>
        <v/>
      </c>
      <c r="H11" s="99">
        <f>IF(D11=0,"нет поступлений",G11/D11)</f>
        <v/>
      </c>
      <c r="I11">
        <f>IF(G11&lt;=0,"ПОРОГ ПРЕВЫШЕН",IF(OR(E11&gt;F11,AND(J11&gt;0,G11&lt;J11)),"ВЫСОКИЙ: может превысить в ближайший месяц / до конца года",IF(E11&gt;F11*0.8,"СРЕДНИЙ: прогноз больше 80 % порога","НИЗКИЙ")))</f>
        <v/>
      </c>
      <c r="J11" s="98">
        <f>'Доходы 2026 по месяцам'!J4</f>
        <v/>
      </c>
    </row>
    <row r="13">
      <c r="A13" s="100" t="inlineStr">
        <is>
          <t>Риски</t>
        </is>
      </c>
    </row>
    <row r="14" ht="75" customHeight="1">
      <c r="A14" s="101" t="inlineStr">
        <is>
          <t>1. ИП Рожков, переход на 7 %. Порог 5 % в 2026 году — 272,5 млн руб. дохода с начала года. На 30.09 доход ≈147,4 млн, в среднем ≈16,4 млн в месяц, прогноз на год ≈196,5 млн. Запас ≈125 млн: порог перейдут, только если в октябре–декабре будет больше 40 млн в месяц. Если перейдут, ставка 7 % действует с 1-го числа следующего месяца, её надо закладывать в калькуляторы закупок. Контролировать ежемесячно.</t>
        </is>
      </c>
    </row>
    <row r="15" ht="75" customHeight="1">
      <c r="A15" s="101" t="inlineStr">
        <is>
          <t>2. ИП Рожков, счёт 55.03. Через 55.03 проходит 115–285 млн в месяц (всего ≈1,5 млрд за 9 месяцев). Я считал это переводами между своими счетами (сколько пришло, столько и ушло). Если это выручка (эквайринг, маркетплейс, платёжный агент), доход превысит и порог 7 % (490,5 млн), и лимит УСН — будут ОСНО и НДС 22 %. Бухгалтеру надо подтвердить, что это за счёт.</t>
        </is>
      </c>
    </row>
    <row r="16" ht="75" customHeight="1">
      <c r="A16" s="101" t="inlineStr">
        <is>
          <t>3. ИП Рожков, «платим с 2024 года». Ставки 5 %/7 % на УСН появились только с 01.01.2025, до этого ИП на УСН не платил НДС (кроме как по счетам-фактурам с выделенным НДС и при импорте). Если в 2024 году НДС платили, значит был другой режим (ОСНО) — это стоит пояснить финдиректору. 5 % без вычетов выбирается на 12 кварталов подряд: с 2025 года отказаться от неё можно не раньше 2028 года.</t>
        </is>
      </c>
    </row>
    <row r="17" ht="75" customHeight="1">
      <c r="A17" s="101" t="inlineStr">
        <is>
          <t>4. ИП Рожков, вычетов нет. При 5 % входной НДС поставщиков не принимается к вычету, он входит в стоимость закупки. В калькуляторах закупок цена поставщика берётся вместе с НДС, а 5 % начисляется на цену продажи.</t>
        </is>
      </c>
    </row>
    <row r="18" ht="75" customHeight="1">
      <c r="A18" s="101" t="inlineStr">
        <is>
          <t>5. Легкие деньки, высокий риск. Только в сентябре поступило 13,5 млн, всего 14,6 млн, до 20 млн осталось ≈5,4 млн. Если это превысят в октябре, НДС будет с 01.11.2026: надо выбрать ставку (5 % без вычетов или 22 % с вычетами) и выставлять счета-фактуры. С 1-го числа следующего месяца цену в договорах и калькуляторах надо считать с НДС.</t>
        </is>
      </c>
    </row>
    <row r="19" ht="75" customHeight="1">
      <c r="A19" s="101" t="inlineStr">
        <is>
          <t>6. Актив Про: ≈8 млн за 9 месяцев, риск низкий, но через 55.03 проходят большие суммы (до 79 млн в месяц) — проверить, как в п. 2.</t>
        </is>
      </c>
    </row>
    <row r="20" ht="75" customHeight="1">
      <c r="A20" s="101" t="inlineStr">
        <is>
          <t>7. Эль Карго: нет выписки за 2026 год, риск оценить нельзя.</t>
        </is>
      </c>
    </row>
    <row r="21" ht="75" customHeight="1">
      <c r="A21" s="101" t="inlineStr">
        <is>
          <t>8. Порог 20 млн с 2027 года снижается до 15 млн, с 2028 — до 10 млн. Дальше пороги будут индексироваться: значения на следующий год нужно сверять с ФНС.</t>
        </is>
      </c>
    </row>
  </sheetData>
  <mergeCells count="8">
    <mergeCell ref="A15:I15"/>
    <mergeCell ref="A19:I19"/>
    <mergeCell ref="A14:I14"/>
    <mergeCell ref="A17:I17"/>
    <mergeCell ref="A18:I18"/>
    <mergeCell ref="A20:I20"/>
    <mergeCell ref="A21:I2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6" customWidth="1" min="4" max="4"/>
    <col width="60" customWidth="1" min="5" max="5"/>
  </cols>
  <sheetData>
    <row r="1">
      <c r="A1" s="96" t="inlineStr">
        <is>
          <t>Чек-лист по задаче «Ставка НДС по юрлицам»</t>
        </is>
      </c>
    </row>
    <row r="3">
      <c r="A3" s="97" t="inlineStr">
        <is>
          <t>№</t>
        </is>
      </c>
      <c r="B3" s="97" t="inlineStr">
        <is>
          <t>Что сделать</t>
        </is>
      </c>
      <c r="C3" s="97" t="inlineStr">
        <is>
          <t>Статус</t>
        </is>
      </c>
      <c r="D3" s="97" t="inlineStr">
        <is>
          <t>Кто</t>
        </is>
      </c>
      <c r="E3" s="97" t="inlineStr">
        <is>
          <t>Комментарий</t>
        </is>
      </c>
    </row>
    <row r="4">
      <c r="A4" s="101" t="n">
        <v>1</v>
      </c>
      <c r="B4" s="101" t="inlineStr">
        <is>
          <t>Доходы 2026 по месяцам: Рожков, Легкие деньки, Актив Про</t>
        </is>
      </c>
      <c r="C4" s="102" t="inlineStr">
        <is>
          <t>Готово</t>
        </is>
      </c>
      <c r="D4" s="101" t="inlineStr"/>
      <c r="E4" s="101" t="inlineStr">
        <is>
          <t>Лист «Доходы 2026 по месяцам», источник — анализ сч. 51 из 1С</t>
        </is>
      </c>
    </row>
    <row r="5">
      <c r="A5" s="101" t="n">
        <v>2</v>
      </c>
      <c r="B5" s="101" t="inlineStr">
        <is>
          <t>Ставка НДС по 4 юрлицам</t>
        </is>
      </c>
      <c r="C5" s="102" t="inlineStr">
        <is>
          <t>Готово</t>
        </is>
      </c>
      <c r="D5" s="101" t="inlineStr"/>
      <c r="E5" s="101" t="inlineStr">
        <is>
          <t>Аргумент 22 %, Рожков 5 %, Легкие деньки и Эль Карго — без НДС</t>
        </is>
      </c>
    </row>
    <row r="6">
      <c r="A6" s="101" t="n">
        <v>3</v>
      </c>
      <c r="B6" s="101" t="inlineStr">
        <is>
          <t>Пороги 5 % / 7 % / 20 млн и риски</t>
        </is>
      </c>
      <c r="C6" s="102" t="inlineStr">
        <is>
          <t>Готово</t>
        </is>
      </c>
      <c r="D6" s="101" t="inlineStr"/>
      <c r="E6" s="101" t="inlineStr">
        <is>
          <t>Лист «Пороги и риски»</t>
        </is>
      </c>
    </row>
    <row r="7">
      <c r="A7" s="101" t="n">
        <v>4</v>
      </c>
      <c r="B7" s="101" t="inlineStr">
        <is>
          <t>Добавить 5-е юрлицо</t>
        </is>
      </c>
      <c r="C7" s="103" t="inlineStr">
        <is>
          <t>Не сделано</t>
        </is>
      </c>
      <c r="D7" s="101" t="inlineStr"/>
      <c r="E7" s="101" t="inlineStr">
        <is>
          <t>В задании пять юрлиц, в таблице четыре</t>
        </is>
      </c>
    </row>
    <row r="8">
      <c r="A8" s="101" t="n">
        <v>5</v>
      </c>
      <c r="B8" s="101" t="inlineStr">
        <is>
          <t>Выгрузить из 1С анализ сч. 51 по Эль Карго за 2026</t>
        </is>
      </c>
      <c r="C8" s="103" t="inlineStr">
        <is>
          <t>Не сделано</t>
        </is>
      </c>
      <c r="D8" s="101" t="inlineStr"/>
      <c r="E8" s="101" t="inlineStr">
        <is>
          <t>Без него риск по порогу 20 млн не оценить</t>
        </is>
      </c>
    </row>
    <row r="9">
      <c r="A9" s="101" t="n">
        <v>6</v>
      </c>
      <c r="B9" s="101" t="inlineStr">
        <is>
          <t>Подтвердить у бухгалтера, что за счёт 55.03 у Рожкова и Актив Про</t>
        </is>
      </c>
      <c r="C9" s="103" t="inlineStr">
        <is>
          <t>Не сделано</t>
        </is>
      </c>
      <c r="D9" s="101" t="inlineStr">
        <is>
          <t>Бухгалтер</t>
        </is>
      </c>
      <c r="E9" s="101" t="inlineStr">
        <is>
          <t>Если это выручка — у Рожкова превышен лимит УСН, НДС 22 %</t>
        </is>
      </c>
    </row>
    <row r="10">
      <c r="A10" s="101" t="n">
        <v>7</v>
      </c>
      <c r="B10" s="101" t="inlineStr">
        <is>
          <t>Пояснить режим Рожкова в 2024 году</t>
        </is>
      </c>
      <c r="C10" s="103" t="inlineStr">
        <is>
          <t>Не сделано</t>
        </is>
      </c>
      <c r="D10" s="101" t="inlineStr"/>
      <c r="E10" s="101" t="inlineStr">
        <is>
          <t>Ставка 5 % на УСН действует только с 2025 г.</t>
        </is>
      </c>
    </row>
    <row r="11">
      <c r="A11" s="101" t="n">
        <v>8</v>
      </c>
      <c r="B11" s="101" t="inlineStr">
        <is>
          <t>Легкие деньки: заранее выбрать ставку на случай превышения 20 млн (5 % или 22 %)</t>
        </is>
      </c>
      <c r="C11" s="103" t="inlineStr">
        <is>
          <t>Не сделано</t>
        </is>
      </c>
      <c r="D11" s="101" t="inlineStr">
        <is>
          <t>Финдиректор</t>
        </is>
      </c>
      <c r="E11" s="101" t="inlineStr">
        <is>
          <t>Запас 5,4 млн; при превышении в октябре — НДС с 01.11.2026</t>
        </is>
      </c>
    </row>
    <row r="12">
      <c r="A12" s="101" t="n">
        <v>9</v>
      </c>
      <c r="B12" s="101" t="inlineStr">
        <is>
          <t>Поставить верную ставку в калькулятор по Чечне (КД-8)</t>
        </is>
      </c>
      <c r="C12" s="103" t="inlineStr">
        <is>
          <t>Не сделано</t>
        </is>
      </c>
      <c r="D12" s="101" t="inlineStr"/>
      <c r="E12" s="101" t="inlineStr">
        <is>
          <t>Ставка того юрлица, через которое идёт закупка (у Рожкова 5 %, не 22 %)</t>
        </is>
      </c>
    </row>
    <row r="13">
      <c r="A13" s="101" t="n">
        <v>10</v>
      </c>
      <c r="B13" s="101" t="inlineStr">
        <is>
          <t>Обновлять доходы каждый месяц</t>
        </is>
      </c>
      <c r="C13" s="101" t="inlineStr">
        <is>
          <t>Регулярно</t>
        </is>
      </c>
      <c r="D13" s="101" t="inlineStr"/>
      <c r="E13" s="101" t="inlineStr">
        <is>
          <t>Особенно Легкие деньки (порог 20 млн) и Рожков (порог 7 % — 272,5 млн)</t>
        </is>
      </c>
    </row>
  </sheetData>
  <dataValidations count="1">
    <dataValidation sqref="C4 C5 C6 C7 C8 C9 C10 C11 C12 C13" showDropDown="0" showInputMessage="0" showErrorMessage="0" allowBlank="1" type="list">
      <formula1>"Готово,Не сделано,В работе,Регулярно"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2" customWidth="1" min="1" max="1"/>
    <col width="14" customWidth="1" min="2" max="13"/>
    <col width="18" customWidth="1" min="14" max="14"/>
    <col width="22" customWidth="1" min="15" max="16"/>
  </cols>
  <sheetData>
    <row r="1" ht="42" customHeight="1">
      <c r="A1" s="1" t="inlineStr">
        <is>
          <t>Юридическое лицо / ИП</t>
        </is>
      </c>
      <c r="B1" s="1" t="inlineStr">
        <is>
          <t>Январь</t>
        </is>
      </c>
      <c r="C1" s="1" t="inlineStr">
        <is>
          <t>Февраль</t>
        </is>
      </c>
      <c r="D1" s="1" t="inlineStr">
        <is>
          <t>Март</t>
        </is>
      </c>
      <c r="E1" s="1" t="inlineStr">
        <is>
          <t>Апрель</t>
        </is>
      </c>
      <c r="F1" s="1" t="inlineStr">
        <is>
          <t>Май</t>
        </is>
      </c>
      <c r="G1" s="1" t="inlineStr">
        <is>
          <t>Июнь</t>
        </is>
      </c>
      <c r="H1" s="1" t="inlineStr">
        <is>
          <t>Июль</t>
        </is>
      </c>
      <c r="I1" s="1" t="inlineStr">
        <is>
          <t>Август</t>
        </is>
      </c>
      <c r="J1" s="1" t="inlineStr">
        <is>
          <t>Сентябрь</t>
        </is>
      </c>
      <c r="K1" s="1" t="inlineStr">
        <is>
          <t>Октябрь</t>
        </is>
      </c>
      <c r="L1" s="1" t="inlineStr">
        <is>
          <t>Ноябрь</t>
        </is>
      </c>
      <c r="M1" s="1" t="inlineStr">
        <is>
          <t>Декабрь</t>
        </is>
      </c>
      <c r="N1" s="1" t="inlineStr">
        <is>
          <t>Итого за 2026</t>
        </is>
      </c>
      <c r="O1" s="1" t="inlineStr">
        <is>
          <t>Месяц превышения порога</t>
        </is>
      </c>
      <c r="P1" s="1" t="inlineStr">
        <is>
          <t>Начало уплаты НДС</t>
        </is>
      </c>
    </row>
    <row r="2" ht="30" customHeight="1">
      <c r="A2" s="2" t="inlineStr">
        <is>
          <t>ИП Рожков</t>
        </is>
      </c>
      <c r="B2" s="3" t="n">
        <v>15566919.3</v>
      </c>
      <c r="C2" s="3" t="n">
        <v>17261836.57</v>
      </c>
      <c r="D2" s="3" t="n">
        <v>16150589.46</v>
      </c>
      <c r="E2" s="3" t="n">
        <v>18952427.54</v>
      </c>
      <c r="F2" s="3" t="n">
        <v>14611609.9</v>
      </c>
      <c r="G2" s="3" t="n">
        <v>13149234.24</v>
      </c>
      <c r="H2" s="3" t="n">
        <v>18308024.13</v>
      </c>
      <c r="I2" s="3" t="n">
        <v>17237918.1</v>
      </c>
      <c r="J2" s="3" t="n">
        <v>16171368.51</v>
      </c>
      <c r="K2" s="7" t="n"/>
      <c r="L2" s="7" t="n"/>
      <c r="M2" s="7" t="n"/>
      <c r="N2" s="5">
        <f>SUM(B2:M2)</f>
        <v/>
      </c>
      <c r="O2" s="2">
        <f>IF(($B2)&gt;20000000,"Январь",IF(($B2+$C2)&gt;20000000,"Февраль",IF(($B2+$C2+$D2)&gt;20000000,"Март",IF(($B2+$C2+$D2+$E2)&gt;20000000,"Апрель",IF(($B2+$C2+$D2+$E2+$F2)&gt;20000000,"Май",IF(($B2+$C2+$D2+$E2+$F2+$G2)&gt;20000000,"Июнь",IF(($B2+$C2+$D2+$E2+$F2+$G2+$H2)&gt;20000000,"Июль",IF(($B2+$C2+$D2+$E2+$F2+$G2+$H2+$I2)&gt;20000000,"Август",IF(($B2+$C2+$D2+$E2+$F2+$G2+$H2+$I2+$J2)&gt;20000000,"Сентябрь",IF(($B2+$C2+$D2+$E2+$F2+$G2+$H2+$I2+$J2+$K2)&gt;20000000,"Октябрь",IF(($B2+$C2+$D2+$E2+$F2+$G2+$H2+$I2+$J2+$K2+$L2)&gt;20000000,"Ноябрь",IF(($B2+$C2+$D2+$E2+$F2+$G2+$H2+$I2+$J2+$K2+$L2+$M2)&gt;20000000,"Декабрь",""))))))))))))</f>
        <v/>
      </c>
      <c r="P2" s="6">
        <f>IF(O2="","Не превышен по введённым данным",DATE(2026,MATCH(O2,{"Январь","Февраль","Март","Апрель","Май","Июнь","Июль","Август","Сентябрь","Октябрь","Ноябрь","Декабрь"},0)+1,1))</f>
        <v/>
      </c>
    </row>
    <row r="3" ht="30" customHeight="1">
      <c r="A3" s="2" t="inlineStr">
        <is>
          <t>Легкие деньки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1145535.75</v>
      </c>
      <c r="J3" s="3" t="n">
        <v>13496756.15</v>
      </c>
      <c r="K3" s="7" t="n"/>
      <c r="L3" s="7" t="n"/>
      <c r="M3" s="7" t="n"/>
      <c r="N3" s="5">
        <f>SUM(B3:M3)</f>
        <v/>
      </c>
      <c r="O3" s="2">
        <f>IF(($B3)&gt;20000000,"Январь",IF(($B3+$C3)&gt;20000000,"Февраль",IF(($B3+$C3+$D3)&gt;20000000,"Март",IF(($B3+$C3+$D3+$E3)&gt;20000000,"Апрель",IF(($B3+$C3+$D3+$E3+$F3)&gt;20000000,"Май",IF(($B3+$C3+$D3+$E3+$F3+$G3)&gt;20000000,"Июнь",IF(($B3+$C3+$D3+$E3+$F3+$G3+$H3)&gt;20000000,"Июль",IF(($B3+$C3+$D3+$E3+$F3+$G3+$H3+$I3)&gt;20000000,"Август",IF(($B3+$C3+$D3+$E3+$F3+$G3+$H3+$I3+$J3)&gt;20000000,"Сентябрь",IF(($B3+$C3+$D3+$E3+$F3+$G3+$H3+$I3+$J3+$K3)&gt;20000000,"Октябрь",IF(($B3+$C3+$D3+$E3+$F3+$G3+$H3+$I3+$J3+$K3+$L3)&gt;20000000,"Ноябрь",IF(($B3+$C3+$D3+$E3+$F3+$G3+$H3+$I3+$J3+$K3+$L3+$M3)&gt;20000000,"Декабрь",""))))))))))))</f>
        <v/>
      </c>
      <c r="P3" s="6">
        <f>IF(O3="","Не превышен по введённым данным",DATE(2026,MATCH(O3,{"Январь","Февраль","Март","Апрель","Май","Июнь","Июль","Август","Сентябрь","Октябрь","Ноябрь","Декабрь"},0)+1,1))</f>
        <v/>
      </c>
    </row>
    <row r="4" ht="30" customHeight="1">
      <c r="A4" s="2" t="inlineStr">
        <is>
          <t>Эль Карго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5">
        <f>SUM(B4:M4)</f>
        <v/>
      </c>
      <c r="O4" s="2">
        <f>IF(($B4)&gt;20000000,"Январь",IF(($B4+$C4)&gt;20000000,"Февраль",IF(($B4+$C4+$D4)&gt;20000000,"Март",IF(($B4+$C4+$D4+$E4)&gt;20000000,"Апрель",IF(($B4+$C4+$D4+$E4+$F4)&gt;20000000,"Май",IF(($B4+$C4+$D4+$E4+$F4+$G4)&gt;20000000,"Июнь",IF(($B4+$C4+$D4+$E4+$F4+$G4+$H4)&gt;20000000,"Июль",IF(($B4+$C4+$D4+$E4+$F4+$G4+$H4+$I4)&gt;20000000,"Август",IF(($B4+$C4+$D4+$E4+$F4+$G4+$H4+$I4+$J4)&gt;20000000,"Сентябрь",IF(($B4+$C4+$D4+$E4+$F4+$G4+$H4+$I4+$J4+$K4)&gt;20000000,"Октябрь",IF(($B4+$C4+$D4+$E4+$F4+$G4+$H4+$I4+$J4+$K4+$L4)&gt;20000000,"Ноябрь",IF(($B4+$C4+$D4+$E4+$F4+$G4+$H4+$I4+$J4+$K4+$L4+$M4)&gt;20000000,"Декабрь",""))))))))))))</f>
        <v/>
      </c>
      <c r="P4" s="6">
        <f>IF(O4="","Не превышен по введённым данным",DATE(2026,MATCH(O4,{"Январь","Февраль","Март","Апрель","Май","Июнь","Июль","Август","Сентябрь","Октябрь","Ноябрь","Декабрь"},0)+1,1))</f>
        <v/>
      </c>
    </row>
    <row r="5" ht="30" customHeight="1">
      <c r="A5" s="2" t="inlineStr">
        <is>
          <t>Актив Про</t>
        </is>
      </c>
      <c r="B5" s="3" t="n">
        <v>5000</v>
      </c>
      <c r="C5" s="3" t="n">
        <v>144260.62</v>
      </c>
      <c r="D5" s="3" t="n">
        <v>1073187.65</v>
      </c>
      <c r="E5" s="3" t="n">
        <v>1040425.18</v>
      </c>
      <c r="F5" s="3" t="n">
        <v>2041695.71</v>
      </c>
      <c r="G5" s="3" t="n">
        <v>1004152.45</v>
      </c>
      <c r="H5" s="3" t="n">
        <v>1020588.69</v>
      </c>
      <c r="I5" s="3" t="n">
        <v>1085442.73</v>
      </c>
      <c r="J5" s="3" t="n">
        <v>569933.37</v>
      </c>
      <c r="K5" s="7" t="n"/>
      <c r="L5" s="7" t="n"/>
      <c r="M5" s="7" t="n"/>
      <c r="N5" s="5">
        <f>SUM(B5:M5)</f>
        <v/>
      </c>
      <c r="O5" s="2">
        <f>IF(($B5)&gt;20000000,"Январь",IF(($B5+$C5)&gt;20000000,"Февраль",IF(($B5+$C5+$D5)&gt;20000000,"Март",IF(($B5+$C5+$D5+$E5)&gt;20000000,"Апрель",IF(($B5+$C5+$D5+$E5+$F5)&gt;20000000,"Май",IF(($B5+$C5+$D5+$E5+$F5+$G5)&gt;20000000,"Июнь",IF(($B5+$C5+$D5+$E5+$F5+$G5+$H5)&gt;20000000,"Июль",IF(($B5+$C5+$D5+$E5+$F5+$G5+$H5+$I5)&gt;20000000,"Август",IF(($B5+$C5+$D5+$E5+$F5+$G5+$H5+$I5+$J5)&gt;20000000,"Сентябрь",IF(($B5+$C5+$D5+$E5+$F5+$G5+$H5+$I5+$J5+$K5)&gt;20000000,"Октябрь",IF(($B5+$C5+$D5+$E5+$F5+$G5+$H5+$I5+$J5+$K5+$L5)&gt;20000000,"Ноябрь",IF(($B5+$C5+$D5+$E5+$F5+$G5+$H5+$I5+$J5+$K5+$L5+$M5)&gt;20000000,"Декабрь",""))))))))))))</f>
        <v/>
      </c>
      <c r="P5" s="6">
        <f>IF(O5="","Не превышен по введённым данным",DATE(2026,MATCH(O5,{"Январь","Февраль","Март","Апрель","Май","Июнь","Июль","Август","Сентябрь","Октябрь","Ноябрь","Декабрь"},0)+1,1))</f>
        <v/>
      </c>
    </row>
    <row r="7">
      <c r="A7" t="inlineStr">
        <is>
          <t>Доход = поступления на р/с от покупателей (Дт 51 Кт 62, включая авансы 62.02) минус возвраты покупателям (Дт 62 Кт 51) + прочие доходы (Кт 91.01). Источник: анализ счёта 51 из 1С за январь–сентябрь 2026.</t>
        </is>
      </c>
    </row>
    <row r="8">
      <c r="A8" t="inlineStr">
        <is>
          <t>Не включены: 55.03 (перевод между своими счетами), 57 (деньги в пути), 66 (займы), 60 (возвраты от поставщиков), 76 (прочие расчёты — проверить отдельно).</t>
        </is>
      </c>
    </row>
    <row r="9">
      <c r="A9" t="inlineStr">
        <is>
          <t>Эль Карго: выписки по счёту 51 в файле нет — нужно выгрузить из 1С.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42" customHeight="1">
      <c r="A1" s="1" t="inlineStr">
        <is>
          <t>Пояснение к таблице</t>
        </is>
      </c>
    </row>
    <row r="2" ht="35.1" customHeight="1">
      <c r="A2" s="2" t="inlineStr">
        <is>
          <t>1. В 2026 году основная ставка НДС составляет 22%.</t>
        </is>
      </c>
    </row>
    <row r="3" ht="35.1" customHeight="1">
      <c r="A3" s="2" t="inlineStr">
        <is>
          <t>2. Для организаций и ИП на УСН освобождение от НДС в 2026 году зависит от доходов за 2025 год: если доходы не превысили 20 млн руб., действует освобождение с 01.01.2026.</t>
        </is>
      </c>
    </row>
    <row r="4" ht="35.1" customHeight="1">
      <c r="A4" s="2" t="inlineStr">
        <is>
          <t>3. Если доходы за 2025 год превысили 20 млн руб., НДС начисляется с 01.01.2026. Если порог превышен в течение 2026 года, обязанность возникает с 1-го числа месяца, следующего за месяцем превышения.</t>
        </is>
      </c>
    </row>
    <row r="5" ht="35.1" customHeight="1">
      <c r="A5" s="2" t="inlineStr">
        <is>
          <t>4. Ставка 5% по НДС на УСН применяется без вычетов входного НДС; при общей ставке 22% вычеты возможны при соблюдении условий НК РФ.</t>
        </is>
      </c>
    </row>
    <row r="6" ht="35.1" customHeight="1">
      <c r="A6" s="2" t="inlineStr">
        <is>
          <t>5. Для «Легкие деньки», «Эль Карго» и «Актив Про» нужно уточнить налоговый режим и доходы за 2025 год. Если они применяют УСН и доходы не превысили порог, дата возникновения обязанности зависит от доходов 2026 года.</t>
        </is>
      </c>
    </row>
    <row r="7" ht="35.1" customHeight="1">
      <c r="A7" s="2" t="inlineStr">
        <is>
          <t>6. На листе «Доходы 2026 по месяцам» внесите доходы каждого месяца. Дата в таблице рассчитывается как первое число месяца, следующего за месяцем превышения 20 млн руб.</t>
        </is>
      </c>
    </row>
    <row r="8" ht="35.1" customHeight="1">
      <c r="A8" s="2" t="inlineStr">
        <is>
          <t>7. Для расчёта порога учитываются доходы для целей УСН, включая доходы от реализации и внереализационные доходы; не все денежные поступления автоматически являются доходом.</t>
        </is>
      </c>
    </row>
    <row r="9" ht="35.1" customHeight="1">
      <c r="A9" s="2" t="inlineStr">
        <is>
          <t>8. Для ИП Рожков и «Аргумент» дата уже зависит от указанного действующего статуса; формулы по доходам нужны прежде всего для трёх лиц, работающих без НДС.</t>
        </is>
      </c>
    </row>
    <row r="10" ht="35.1" customHeight="1">
      <c r="A10" s="2" t="inlineStr">
        <is>
          <t>Источник: ФНС России, раздел «НДС при УСН» и материалы об изменениях налогов с 2026 года.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7"/>
  <sheetViews>
    <sheetView tabSelected="1" topLeftCell="A14" workbookViewId="0">
      <selection activeCell="A1" sqref="A1:D217"/>
    </sheetView>
  </sheetViews>
  <sheetFormatPr baseColWidth="8" defaultRowHeight="15"/>
  <sheetData>
    <row r="1">
      <c r="A1" s="34" t="inlineStr">
        <is>
          <t xml:space="preserve">ООО "АКТИВПРО"                                         </t>
        </is>
      </c>
    </row>
    <row r="2" ht="15.75" customHeight="1">
      <c r="A2" s="10" t="inlineStr">
        <is>
          <t>Анализ счета 51 за 2026 г.</t>
        </is>
      </c>
      <c r="B2" s="11" t="n"/>
      <c r="C2" s="11" t="n"/>
      <c r="D2" s="11" t="n"/>
    </row>
    <row r="3">
      <c r="A3" s="12" t="n"/>
      <c r="B3" s="12" t="n"/>
      <c r="C3" s="12" t="n"/>
      <c r="D3" s="12" t="n"/>
    </row>
    <row r="4">
      <c r="A4" s="36" t="inlineStr">
        <is>
          <t>Выводимые данные: БУ (данные бухгалтерского учета)</t>
        </is>
      </c>
    </row>
    <row r="5">
      <c r="A5" s="36" t="n"/>
      <c r="B5" s="36" t="n"/>
      <c r="C5" s="11" t="n"/>
      <c r="D5" s="11" t="n"/>
    </row>
    <row r="6">
      <c r="A6" s="36" t="inlineStr">
        <is>
          <t>Отбор: Банковские счета Равно "40702810212010782246, Филиал "Корпоративный" ПАО "Совкомбанк""</t>
        </is>
      </c>
    </row>
    <row r="7">
      <c r="A7" s="36" t="n"/>
      <c r="B7" s="36" t="n"/>
      <c r="C7" s="11" t="n"/>
      <c r="D7" s="11" t="n"/>
    </row>
    <row r="8">
      <c r="A8" s="14" t="inlineStr">
        <is>
          <t>Счет</t>
        </is>
      </c>
      <c r="B8" s="14" t="inlineStr">
        <is>
          <t>Кор. Счет</t>
        </is>
      </c>
      <c r="C8" s="14" t="inlineStr">
        <is>
          <t>Дебет</t>
        </is>
      </c>
      <c r="D8" s="14" t="inlineStr">
        <is>
          <t>Кредит</t>
        </is>
      </c>
    </row>
    <row r="9">
      <c r="A9" s="14" t="inlineStr">
        <is>
          <t>Период</t>
        </is>
      </c>
      <c r="B9" s="95" t="n"/>
      <c r="C9" s="95" t="n"/>
      <c r="D9" s="95" t="n"/>
    </row>
    <row r="10" ht="38.25" customHeight="1">
      <c r="A10" s="15" t="inlineStr">
        <is>
          <t>51</t>
        </is>
      </c>
      <c r="B10" s="15" t="inlineStr">
        <is>
          <t>Начальное сальдо</t>
        </is>
      </c>
      <c r="C10" s="16" t="n"/>
      <c r="D10" s="16" t="n"/>
    </row>
    <row r="11" ht="48" customHeight="1">
      <c r="A11" s="17" t="inlineStr">
        <is>
          <t>Обороты за Январь 26</t>
        </is>
      </c>
      <c r="B11" s="17" t="inlineStr">
        <is>
          <t>Начальное сальдо</t>
        </is>
      </c>
      <c r="C11" s="18" t="n"/>
      <c r="D11" s="18" t="n"/>
    </row>
    <row r="12">
      <c r="A12" s="19" t="n"/>
      <c r="B12" s="20" t="inlineStr">
        <is>
          <t>57</t>
        </is>
      </c>
      <c r="C12" s="21" t="n">
        <v>3290</v>
      </c>
      <c r="D12" s="22" t="n"/>
    </row>
    <row r="13" ht="24" customHeight="1">
      <c r="A13" s="19" t="n"/>
      <c r="B13" s="23" t="inlineStr">
        <is>
          <t>57.01</t>
        </is>
      </c>
      <c r="C13" s="21" t="n">
        <v>3290</v>
      </c>
      <c r="D13" s="22" t="n"/>
    </row>
    <row r="14">
      <c r="A14" s="19" t="n"/>
      <c r="B14" s="20" t="inlineStr">
        <is>
          <t>62</t>
        </is>
      </c>
      <c r="C14" s="21" t="n">
        <v>5000</v>
      </c>
      <c r="D14" s="22" t="n"/>
    </row>
    <row r="15" ht="24" customHeight="1">
      <c r="A15" s="19" t="n"/>
      <c r="B15" s="23" t="inlineStr">
        <is>
          <t>62.01</t>
        </is>
      </c>
      <c r="C15" s="21" t="n">
        <v>5000</v>
      </c>
      <c r="D15" s="22" t="n"/>
    </row>
    <row r="16">
      <c r="A16" s="19" t="n"/>
      <c r="B16" s="20" t="inlineStr">
        <is>
          <t>91</t>
        </is>
      </c>
      <c r="C16" s="22" t="n"/>
      <c r="D16" s="21" t="n">
        <v>6580</v>
      </c>
    </row>
    <row r="17" ht="24" customHeight="1">
      <c r="A17" s="19" t="n"/>
      <c r="B17" s="23" t="inlineStr">
        <is>
          <t>91.02</t>
        </is>
      </c>
      <c r="C17" s="22" t="n"/>
      <c r="D17" s="21" t="n">
        <v>6580</v>
      </c>
    </row>
    <row r="18">
      <c r="A18" s="24" t="n"/>
      <c r="B18" s="17" t="inlineStr">
        <is>
          <t>Оборот</t>
        </is>
      </c>
      <c r="C18" s="25" t="n">
        <v>8290</v>
      </c>
      <c r="D18" s="25" t="n">
        <v>6580</v>
      </c>
    </row>
    <row r="19" ht="36" customHeight="1">
      <c r="A19" s="24" t="n"/>
      <c r="B19" s="17" t="inlineStr">
        <is>
          <t>Конечное сальдо</t>
        </is>
      </c>
      <c r="C19" s="25" t="n">
        <v>1710</v>
      </c>
      <c r="D19" s="18" t="n"/>
    </row>
    <row r="20" ht="48" customHeight="1">
      <c r="A20" s="17" t="inlineStr">
        <is>
          <t>Обороты за Февраль 26</t>
        </is>
      </c>
      <c r="B20" s="17" t="inlineStr">
        <is>
          <t>Начальное сальдо</t>
        </is>
      </c>
      <c r="C20" s="25" t="n">
        <v>1710</v>
      </c>
      <c r="D20" s="18" t="n"/>
    </row>
    <row r="21">
      <c r="A21" s="19" t="n"/>
      <c r="B21" s="20" t="inlineStr">
        <is>
          <t>57</t>
        </is>
      </c>
      <c r="C21" s="22" t="n"/>
      <c r="D21" s="21" t="n">
        <v>5000</v>
      </c>
    </row>
    <row r="22" ht="24" customHeight="1">
      <c r="A22" s="19" t="n"/>
      <c r="B22" s="23" t="inlineStr">
        <is>
          <t>57.01</t>
        </is>
      </c>
      <c r="C22" s="22" t="n"/>
      <c r="D22" s="21" t="n">
        <v>5000</v>
      </c>
    </row>
    <row r="23">
      <c r="A23" s="19" t="n"/>
      <c r="B23" s="20" t="inlineStr">
        <is>
          <t>62</t>
        </is>
      </c>
      <c r="C23" s="21" t="n">
        <v>144260.62</v>
      </c>
      <c r="D23" s="22" t="n"/>
    </row>
    <row r="24" ht="24" customHeight="1">
      <c r="A24" s="19" t="n"/>
      <c r="B24" s="23" t="inlineStr">
        <is>
          <t>62.01</t>
        </is>
      </c>
      <c r="C24" s="21" t="n">
        <v>144260.62</v>
      </c>
      <c r="D24" s="22" t="n"/>
    </row>
    <row r="25">
      <c r="A25" s="19" t="n"/>
      <c r="B25" s="20" t="inlineStr">
        <is>
          <t>68</t>
        </is>
      </c>
      <c r="C25" s="22" t="n"/>
      <c r="D25" s="21" t="n">
        <v>40091.86</v>
      </c>
    </row>
    <row r="26" ht="24" customHeight="1">
      <c r="A26" s="19" t="n"/>
      <c r="B26" s="23" t="inlineStr">
        <is>
          <t>68.90</t>
        </is>
      </c>
      <c r="C26" s="22" t="n"/>
      <c r="D26" s="21" t="n">
        <v>40091.86</v>
      </c>
    </row>
    <row r="27">
      <c r="A27" s="19" t="n"/>
      <c r="B27" s="20" t="inlineStr">
        <is>
          <t>91</t>
        </is>
      </c>
      <c r="C27" s="22" t="n"/>
      <c r="D27" s="21" t="n">
        <v>3390</v>
      </c>
    </row>
    <row r="28" ht="24" customHeight="1">
      <c r="A28" s="19" t="n"/>
      <c r="B28" s="23" t="inlineStr">
        <is>
          <t>91.02</t>
        </is>
      </c>
      <c r="C28" s="22" t="n"/>
      <c r="D28" s="21" t="n">
        <v>3390</v>
      </c>
    </row>
    <row r="29">
      <c r="A29" s="24" t="n"/>
      <c r="B29" s="17" t="inlineStr">
        <is>
          <t>Оборот</t>
        </is>
      </c>
      <c r="C29" s="25" t="n">
        <v>144260.62</v>
      </c>
      <c r="D29" s="25" t="n">
        <v>48481.86</v>
      </c>
    </row>
    <row r="30" ht="36" customHeight="1">
      <c r="A30" s="24" t="n"/>
      <c r="B30" s="17" t="inlineStr">
        <is>
          <t>Конечное сальдо</t>
        </is>
      </c>
      <c r="C30" s="25" t="n">
        <v>97488.75999999999</v>
      </c>
      <c r="D30" s="18" t="n"/>
    </row>
    <row r="31" ht="36" customHeight="1">
      <c r="A31" s="17" t="inlineStr">
        <is>
          <t>Обороты за Март 26</t>
        </is>
      </c>
      <c r="B31" s="17" t="inlineStr">
        <is>
          <t>Начальное сальдо</t>
        </is>
      </c>
      <c r="C31" s="25" t="n">
        <v>97488.75999999999</v>
      </c>
      <c r="D31" s="18" t="n"/>
    </row>
    <row r="32">
      <c r="A32" s="19" t="n"/>
      <c r="B32" s="20" t="inlineStr">
        <is>
          <t>57</t>
        </is>
      </c>
      <c r="C32" s="22" t="n"/>
      <c r="D32" s="21" t="n">
        <v>250000</v>
      </c>
    </row>
    <row r="33" ht="24" customHeight="1">
      <c r="A33" s="19" t="n"/>
      <c r="B33" s="23" t="inlineStr">
        <is>
          <t>57.01</t>
        </is>
      </c>
      <c r="C33" s="22" t="n"/>
      <c r="D33" s="21" t="n">
        <v>250000</v>
      </c>
    </row>
    <row r="34">
      <c r="A34" s="19" t="n"/>
      <c r="B34" s="20" t="inlineStr">
        <is>
          <t>62</t>
        </is>
      </c>
      <c r="C34" s="21" t="n">
        <v>1073187.65</v>
      </c>
      <c r="D34" s="22" t="n"/>
    </row>
    <row r="35" ht="24" customHeight="1">
      <c r="A35" s="19" t="n"/>
      <c r="B35" s="23" t="inlineStr">
        <is>
          <t>62.01</t>
        </is>
      </c>
      <c r="C35" s="21" t="n">
        <v>832777.65</v>
      </c>
      <c r="D35" s="22" t="n"/>
    </row>
    <row r="36" ht="24" customHeight="1">
      <c r="A36" s="19" t="n"/>
      <c r="B36" s="23" t="inlineStr">
        <is>
          <t>62.02</t>
        </is>
      </c>
      <c r="C36" s="21" t="n">
        <v>240410</v>
      </c>
      <c r="D36" s="22" t="n"/>
    </row>
    <row r="37">
      <c r="A37" s="19" t="n"/>
      <c r="B37" s="20" t="inlineStr">
        <is>
          <t>68</t>
        </is>
      </c>
      <c r="C37" s="22" t="n"/>
      <c r="D37" s="21" t="n">
        <v>66131.84</v>
      </c>
    </row>
    <row r="38" ht="24" customHeight="1">
      <c r="A38" s="19" t="n"/>
      <c r="B38" s="23" t="inlineStr">
        <is>
          <t>68.90</t>
        </is>
      </c>
      <c r="C38" s="22" t="n"/>
      <c r="D38" s="21" t="n">
        <v>66131.84</v>
      </c>
    </row>
    <row r="39">
      <c r="A39" s="19" t="n"/>
      <c r="B39" s="20" t="inlineStr">
        <is>
          <t>69</t>
        </is>
      </c>
      <c r="C39" s="22" t="n"/>
      <c r="D39" s="21" t="n">
        <v>1134</v>
      </c>
    </row>
    <row r="40" ht="24" customHeight="1">
      <c r="A40" s="19" t="n"/>
      <c r="B40" s="23" t="inlineStr">
        <is>
          <t>69.11</t>
        </is>
      </c>
      <c r="C40" s="22" t="n"/>
      <c r="D40" s="21" t="n">
        <v>1134</v>
      </c>
    </row>
    <row r="41">
      <c r="A41" s="19" t="n"/>
      <c r="B41" s="20" t="inlineStr">
        <is>
          <t>91</t>
        </is>
      </c>
      <c r="C41" s="22" t="n"/>
      <c r="D41" s="21" t="n">
        <v>3290</v>
      </c>
    </row>
    <row r="42" ht="24" customHeight="1">
      <c r="A42" s="19" t="n"/>
      <c r="B42" s="23" t="inlineStr">
        <is>
          <t>91.02</t>
        </is>
      </c>
      <c r="C42" s="22" t="n"/>
      <c r="D42" s="21" t="n">
        <v>3290</v>
      </c>
    </row>
    <row r="43">
      <c r="A43" s="24" t="n"/>
      <c r="B43" s="17" t="inlineStr">
        <is>
          <t>Оборот</t>
        </is>
      </c>
      <c r="C43" s="25" t="n">
        <v>1073187.65</v>
      </c>
      <c r="D43" s="25" t="n">
        <v>320555.84</v>
      </c>
    </row>
    <row r="44" ht="36" customHeight="1">
      <c r="A44" s="24" t="n"/>
      <c r="B44" s="17" t="inlineStr">
        <is>
          <t>Конечное сальдо</t>
        </is>
      </c>
      <c r="C44" s="25" t="n">
        <v>850120.5699999999</v>
      </c>
      <c r="D44" s="18" t="n"/>
    </row>
    <row r="45" ht="48" customHeight="1">
      <c r="A45" s="17" t="inlineStr">
        <is>
          <t>Обороты за Апрель 26</t>
        </is>
      </c>
      <c r="B45" s="17" t="inlineStr">
        <is>
          <t>Начальное сальдо</t>
        </is>
      </c>
      <c r="C45" s="25" t="n">
        <v>850120.5699999999</v>
      </c>
      <c r="D45" s="18" t="n"/>
    </row>
    <row r="46">
      <c r="A46" s="19" t="n"/>
      <c r="B46" s="20" t="inlineStr">
        <is>
          <t>55</t>
        </is>
      </c>
      <c r="C46" s="21" t="n">
        <v>24362519.69</v>
      </c>
      <c r="D46" s="21" t="n">
        <v>25748895.69</v>
      </c>
    </row>
    <row r="47" ht="24" customHeight="1">
      <c r="A47" s="19" t="n"/>
      <c r="B47" s="23" t="inlineStr">
        <is>
          <t>55.03</t>
        </is>
      </c>
      <c r="C47" s="21" t="n">
        <v>24362519.69</v>
      </c>
      <c r="D47" s="21" t="n">
        <v>25748895.69</v>
      </c>
    </row>
    <row r="48">
      <c r="A48" s="19" t="n"/>
      <c r="B48" s="20" t="inlineStr">
        <is>
          <t>57</t>
        </is>
      </c>
      <c r="C48" s="22" t="n"/>
      <c r="D48" s="21" t="n">
        <v>115000</v>
      </c>
    </row>
    <row r="49" ht="24" customHeight="1">
      <c r="A49" s="19" t="n"/>
      <c r="B49" s="23" t="inlineStr">
        <is>
          <t>57.01</t>
        </is>
      </c>
      <c r="C49" s="22" t="n"/>
      <c r="D49" s="21" t="n">
        <v>115000</v>
      </c>
    </row>
    <row r="50">
      <c r="A50" s="19" t="n"/>
      <c r="B50" s="20" t="inlineStr">
        <is>
          <t>60</t>
        </is>
      </c>
      <c r="C50" s="22" t="n"/>
      <c r="D50" s="21" t="n">
        <v>55920</v>
      </c>
    </row>
    <row r="51" ht="24" customHeight="1">
      <c r="A51" s="19" t="n"/>
      <c r="B51" s="23" t="inlineStr">
        <is>
          <t>60.01</t>
        </is>
      </c>
      <c r="C51" s="22" t="n"/>
      <c r="D51" s="21" t="n">
        <v>4920</v>
      </c>
    </row>
    <row r="52" ht="24" customHeight="1">
      <c r="A52" s="19" t="n"/>
      <c r="B52" s="23" t="inlineStr">
        <is>
          <t>60.02</t>
        </is>
      </c>
      <c r="C52" s="22" t="n"/>
      <c r="D52" s="21" t="n">
        <v>51000</v>
      </c>
    </row>
    <row r="53">
      <c r="A53" s="19" t="n"/>
      <c r="B53" s="20" t="inlineStr">
        <is>
          <t>62</t>
        </is>
      </c>
      <c r="C53" s="21" t="n">
        <v>1028530.87</v>
      </c>
      <c r="D53" s="22" t="n"/>
    </row>
    <row r="54" ht="24" customHeight="1">
      <c r="A54" s="19" t="n"/>
      <c r="B54" s="23" t="inlineStr">
        <is>
          <t>62.01</t>
        </is>
      </c>
      <c r="C54" s="21" t="n">
        <v>1006690.87</v>
      </c>
      <c r="D54" s="22" t="n"/>
    </row>
    <row r="55" ht="24" customHeight="1">
      <c r="A55" s="19" t="n"/>
      <c r="B55" s="23" t="inlineStr">
        <is>
          <t>62.02</t>
        </is>
      </c>
      <c r="C55" s="21" t="n">
        <v>21840</v>
      </c>
      <c r="D55" s="22" t="n"/>
    </row>
    <row r="56">
      <c r="A56" s="19" t="n"/>
      <c r="B56" s="20" t="inlineStr">
        <is>
          <t>68</t>
        </is>
      </c>
      <c r="C56" s="22" t="n"/>
      <c r="D56" s="21" t="n">
        <v>101719.38</v>
      </c>
    </row>
    <row r="57" ht="24" customHeight="1">
      <c r="A57" s="19" t="n"/>
      <c r="B57" s="23" t="inlineStr">
        <is>
          <t>68.90</t>
        </is>
      </c>
      <c r="C57" s="22" t="n"/>
      <c r="D57" s="21" t="n">
        <v>101719.38</v>
      </c>
    </row>
    <row r="58">
      <c r="A58" s="19" t="n"/>
      <c r="B58" s="20" t="inlineStr">
        <is>
          <t>69</t>
        </is>
      </c>
      <c r="C58" s="22" t="n"/>
      <c r="D58" s="21" t="n">
        <v>1103.42</v>
      </c>
    </row>
    <row r="59" ht="24" customHeight="1">
      <c r="A59" s="19" t="n"/>
      <c r="B59" s="23" t="inlineStr">
        <is>
          <t>69.11</t>
        </is>
      </c>
      <c r="C59" s="22" t="n"/>
      <c r="D59" s="21" t="n">
        <v>1103.42</v>
      </c>
    </row>
    <row r="60">
      <c r="A60" s="19" t="n"/>
      <c r="B60" s="20" t="inlineStr">
        <is>
          <t>76</t>
        </is>
      </c>
      <c r="C60" s="22" t="n"/>
      <c r="D60" s="21" t="n">
        <v>135249.71</v>
      </c>
    </row>
    <row r="61" ht="24" customHeight="1">
      <c r="A61" s="19" t="n"/>
      <c r="B61" s="23" t="inlineStr">
        <is>
          <t>76.09</t>
        </is>
      </c>
      <c r="C61" s="22" t="n"/>
      <c r="D61" s="21" t="n">
        <v>135249.71</v>
      </c>
    </row>
    <row r="62">
      <c r="A62" s="19" t="n"/>
      <c r="B62" s="20" t="inlineStr">
        <is>
          <t>91</t>
        </is>
      </c>
      <c r="C62" s="21" t="n">
        <v>11894.31</v>
      </c>
      <c r="D62" s="21" t="n">
        <v>3290</v>
      </c>
    </row>
    <row r="63" ht="24" customHeight="1">
      <c r="A63" s="19" t="n"/>
      <c r="B63" s="23" t="inlineStr">
        <is>
          <t>91.01</t>
        </is>
      </c>
      <c r="C63" s="21" t="n">
        <v>11894.31</v>
      </c>
      <c r="D63" s="22" t="n"/>
    </row>
    <row r="64" ht="24" customHeight="1">
      <c r="A64" s="19" t="n"/>
      <c r="B64" s="23" t="inlineStr">
        <is>
          <t>91.02</t>
        </is>
      </c>
      <c r="C64" s="22" t="n"/>
      <c r="D64" s="21" t="n">
        <v>3290</v>
      </c>
    </row>
    <row r="65">
      <c r="A65" s="24" t="n"/>
      <c r="B65" s="17" t="inlineStr">
        <is>
          <t>Оборот</t>
        </is>
      </c>
      <c r="C65" s="25" t="n">
        <v>25402944.87</v>
      </c>
      <c r="D65" s="25" t="n">
        <v>26161178.2</v>
      </c>
    </row>
    <row r="66" ht="36" customHeight="1">
      <c r="A66" s="24" t="n"/>
      <c r="B66" s="17" t="inlineStr">
        <is>
          <t>Конечное сальдо</t>
        </is>
      </c>
      <c r="C66" s="25" t="n">
        <v>91887.24000000001</v>
      </c>
      <c r="D66" s="18" t="n"/>
    </row>
    <row r="67" ht="36" customHeight="1">
      <c r="A67" s="17" t="inlineStr">
        <is>
          <t>Обороты за Май 26</t>
        </is>
      </c>
      <c r="B67" s="17" t="inlineStr">
        <is>
          <t>Начальное сальдо</t>
        </is>
      </c>
      <c r="C67" s="25" t="n">
        <v>91887.24000000001</v>
      </c>
      <c r="D67" s="18" t="n"/>
    </row>
    <row r="68">
      <c r="A68" s="19" t="n"/>
      <c r="B68" s="20" t="inlineStr">
        <is>
          <t>55</t>
        </is>
      </c>
      <c r="C68" s="21" t="n">
        <v>44727742.54</v>
      </c>
      <c r="D68" s="21" t="n">
        <v>46528201.88</v>
      </c>
    </row>
    <row r="69" ht="24" customHeight="1">
      <c r="A69" s="19" t="n"/>
      <c r="B69" s="23" t="inlineStr">
        <is>
          <t>55.03</t>
        </is>
      </c>
      <c r="C69" s="21" t="n">
        <v>44727742.54</v>
      </c>
      <c r="D69" s="21" t="n">
        <v>46528201.88</v>
      </c>
    </row>
    <row r="70">
      <c r="A70" s="19" t="n"/>
      <c r="B70" s="20" t="inlineStr">
        <is>
          <t>57</t>
        </is>
      </c>
      <c r="C70" s="22" t="n"/>
      <c r="D70" s="21" t="n">
        <v>200000</v>
      </c>
    </row>
    <row r="71" ht="24" customHeight="1">
      <c r="A71" s="19" t="n"/>
      <c r="B71" s="23" t="inlineStr">
        <is>
          <t>57.01</t>
        </is>
      </c>
      <c r="C71" s="22" t="n"/>
      <c r="D71" s="21" t="n">
        <v>200000</v>
      </c>
    </row>
    <row r="72">
      <c r="A72" s="19" t="n"/>
      <c r="B72" s="20" t="inlineStr">
        <is>
          <t>60</t>
        </is>
      </c>
      <c r="C72" s="22" t="n"/>
      <c r="D72" s="21" t="n">
        <v>50000</v>
      </c>
    </row>
    <row r="73" ht="24" customHeight="1">
      <c r="A73" s="19" t="n"/>
      <c r="B73" s="23" t="inlineStr">
        <is>
          <t>60.02</t>
        </is>
      </c>
      <c r="C73" s="22" t="n"/>
      <c r="D73" s="21" t="n">
        <v>50000</v>
      </c>
    </row>
    <row r="74">
      <c r="A74" s="19" t="n"/>
      <c r="B74" s="20" t="inlineStr">
        <is>
          <t>62</t>
        </is>
      </c>
      <c r="C74" s="21" t="n">
        <v>2018037.07</v>
      </c>
      <c r="D74" s="22" t="n"/>
    </row>
    <row r="75" ht="24" customHeight="1">
      <c r="A75" s="19" t="n"/>
      <c r="B75" s="23" t="inlineStr">
        <is>
          <t>62.01</t>
        </is>
      </c>
      <c r="C75" s="21" t="n">
        <v>2002509.07</v>
      </c>
      <c r="D75" s="22" t="n"/>
    </row>
    <row r="76" ht="24" customHeight="1">
      <c r="A76" s="19" t="n"/>
      <c r="B76" s="23" t="inlineStr">
        <is>
          <t>62.02</t>
        </is>
      </c>
      <c r="C76" s="21" t="n">
        <v>15528</v>
      </c>
      <c r="D76" s="22" t="n"/>
    </row>
    <row r="77">
      <c r="A77" s="19" t="n"/>
      <c r="B77" s="20" t="inlineStr">
        <is>
          <t>68</t>
        </is>
      </c>
      <c r="C77" s="22" t="n"/>
      <c r="D77" s="21" t="n">
        <v>73440</v>
      </c>
    </row>
    <row r="78" ht="24" customHeight="1">
      <c r="A78" s="19" t="n"/>
      <c r="B78" s="23" t="inlineStr">
        <is>
          <t>68.90</t>
        </is>
      </c>
      <c r="C78" s="22" t="n"/>
      <c r="D78" s="21" t="n">
        <v>73440</v>
      </c>
    </row>
    <row r="79">
      <c r="A79" s="19" t="n"/>
      <c r="B79" s="20" t="inlineStr">
        <is>
          <t>69</t>
        </is>
      </c>
      <c r="C79" s="22" t="n"/>
      <c r="D79" s="21" t="n">
        <v>1224</v>
      </c>
    </row>
    <row r="80" ht="24" customHeight="1">
      <c r="A80" s="19" t="n"/>
      <c r="B80" s="23" t="inlineStr">
        <is>
          <t>69.11</t>
        </is>
      </c>
      <c r="C80" s="22" t="n"/>
      <c r="D80" s="21" t="n">
        <v>1224</v>
      </c>
    </row>
    <row r="81">
      <c r="A81" s="19" t="n"/>
      <c r="B81" s="20" t="inlineStr">
        <is>
          <t>76</t>
        </is>
      </c>
      <c r="C81" s="22" t="n"/>
      <c r="D81" s="21" t="n">
        <v>5169.61</v>
      </c>
    </row>
    <row r="82" ht="24" customHeight="1">
      <c r="A82" s="19" t="n"/>
      <c r="B82" s="23" t="inlineStr">
        <is>
          <t>76.09</t>
        </is>
      </c>
      <c r="C82" s="22" t="n"/>
      <c r="D82" s="21" t="n">
        <v>5169.61</v>
      </c>
    </row>
    <row r="83">
      <c r="A83" s="19" t="n"/>
      <c r="B83" s="20" t="inlineStr">
        <is>
          <t>91</t>
        </is>
      </c>
      <c r="C83" s="21" t="n">
        <v>23658.64</v>
      </c>
      <c r="D83" s="21" t="n">
        <v>3290</v>
      </c>
    </row>
    <row r="84" ht="24" customHeight="1">
      <c r="A84" s="19" t="n"/>
      <c r="B84" s="23" t="inlineStr">
        <is>
          <t>91.01</t>
        </is>
      </c>
      <c r="C84" s="21" t="n">
        <v>23658.64</v>
      </c>
      <c r="D84" s="22" t="n"/>
    </row>
    <row r="85" ht="24" customHeight="1">
      <c r="A85" s="19" t="n"/>
      <c r="B85" s="23" t="inlineStr">
        <is>
          <t>91.02</t>
        </is>
      </c>
      <c r="C85" s="22" t="n"/>
      <c r="D85" s="21" t="n">
        <v>3290</v>
      </c>
    </row>
    <row r="86">
      <c r="A86" s="24" t="n"/>
      <c r="B86" s="17" t="inlineStr">
        <is>
          <t>Оборот</t>
        </is>
      </c>
      <c r="C86" s="25" t="n">
        <v>46769438.25</v>
      </c>
      <c r="D86" s="25" t="n">
        <v>46861325.49</v>
      </c>
    </row>
    <row r="87" ht="36" customHeight="1">
      <c r="A87" s="24" t="n"/>
      <c r="B87" s="17" t="inlineStr">
        <is>
          <t>Конечное сальдо</t>
        </is>
      </c>
      <c r="C87" s="18" t="n"/>
      <c r="D87" s="18" t="n"/>
    </row>
    <row r="88" ht="48" customHeight="1">
      <c r="A88" s="17" t="inlineStr">
        <is>
          <t>Обороты за Июнь 26</t>
        </is>
      </c>
      <c r="B88" s="17" t="inlineStr">
        <is>
          <t>Начальное сальдо</t>
        </is>
      </c>
      <c r="C88" s="18" t="n"/>
      <c r="D88" s="18" t="n"/>
    </row>
    <row r="89">
      <c r="A89" s="19" t="n"/>
      <c r="B89" s="20" t="inlineStr">
        <is>
          <t>55</t>
        </is>
      </c>
      <c r="C89" s="21" t="n">
        <v>76685118.42</v>
      </c>
      <c r="D89" s="21" t="n">
        <v>77341732.39</v>
      </c>
    </row>
    <row r="90" ht="24" customHeight="1">
      <c r="A90" s="19" t="n"/>
      <c r="B90" s="23" t="inlineStr">
        <is>
          <t>55.03</t>
        </is>
      </c>
      <c r="C90" s="21" t="n">
        <v>76685118.42</v>
      </c>
      <c r="D90" s="21" t="n">
        <v>77341732.39</v>
      </c>
    </row>
    <row r="91">
      <c r="A91" s="19" t="n"/>
      <c r="B91" s="20" t="inlineStr">
        <is>
          <t>57</t>
        </is>
      </c>
      <c r="C91" s="22" t="n"/>
      <c r="D91" s="21" t="n">
        <v>200000</v>
      </c>
    </row>
    <row r="92" ht="24" customHeight="1">
      <c r="A92" s="19" t="n"/>
      <c r="B92" s="23" t="inlineStr">
        <is>
          <t>57.01</t>
        </is>
      </c>
      <c r="C92" s="22" t="n"/>
      <c r="D92" s="21" t="n">
        <v>200000</v>
      </c>
    </row>
    <row r="93">
      <c r="A93" s="19" t="n"/>
      <c r="B93" s="20" t="inlineStr">
        <is>
          <t>60</t>
        </is>
      </c>
      <c r="C93" s="22" t="n"/>
      <c r="D93" s="21" t="n">
        <v>54680</v>
      </c>
    </row>
    <row r="94" ht="24" customHeight="1">
      <c r="A94" s="19" t="n"/>
      <c r="B94" s="23" t="inlineStr">
        <is>
          <t>60.02</t>
        </is>
      </c>
      <c r="C94" s="22" t="n"/>
      <c r="D94" s="21" t="n">
        <v>54680</v>
      </c>
    </row>
    <row r="95">
      <c r="A95" s="19" t="n"/>
      <c r="B95" s="20" t="inlineStr">
        <is>
          <t>62</t>
        </is>
      </c>
      <c r="C95" s="21" t="n">
        <v>962173.14</v>
      </c>
      <c r="D95" s="22" t="n"/>
    </row>
    <row r="96" ht="24" customHeight="1">
      <c r="A96" s="19" t="n"/>
      <c r="B96" s="23" t="inlineStr">
        <is>
          <t>62.01</t>
        </is>
      </c>
      <c r="C96" s="21" t="n">
        <v>903173.14</v>
      </c>
      <c r="D96" s="22" t="n"/>
    </row>
    <row r="97" ht="24" customHeight="1">
      <c r="A97" s="19" t="n"/>
      <c r="B97" s="23" t="inlineStr">
        <is>
          <t>62.02</t>
        </is>
      </c>
      <c r="C97" s="21" t="n">
        <v>59000</v>
      </c>
      <c r="D97" s="22" t="n"/>
    </row>
    <row r="98">
      <c r="A98" s="19" t="n"/>
      <c r="B98" s="20" t="inlineStr">
        <is>
          <t>68</t>
        </is>
      </c>
      <c r="C98" s="22" t="n"/>
      <c r="D98" s="21" t="n">
        <v>84902.03</v>
      </c>
    </row>
    <row r="99" ht="24" customHeight="1">
      <c r="A99" s="19" t="n"/>
      <c r="B99" s="23" t="inlineStr">
        <is>
          <t>68.90</t>
        </is>
      </c>
      <c r="C99" s="22" t="n"/>
      <c r="D99" s="21" t="n">
        <v>84902.03</v>
      </c>
    </row>
    <row r="100">
      <c r="A100" s="19" t="n"/>
      <c r="B100" s="20" t="inlineStr">
        <is>
          <t>69</t>
        </is>
      </c>
      <c r="C100" s="22" t="n"/>
      <c r="D100" s="21" t="n">
        <v>1195.32</v>
      </c>
    </row>
    <row r="101" ht="24" customHeight="1">
      <c r="A101" s="19" t="n"/>
      <c r="B101" s="23" t="inlineStr">
        <is>
          <t>69.11</t>
        </is>
      </c>
      <c r="C101" s="22" t="n"/>
      <c r="D101" s="21" t="n">
        <v>1195.32</v>
      </c>
    </row>
    <row r="102">
      <c r="A102" s="19" t="n"/>
      <c r="B102" s="20" t="inlineStr">
        <is>
          <t>76</t>
        </is>
      </c>
      <c r="C102" s="22" t="n"/>
      <c r="D102" s="21" t="n">
        <v>3371.13</v>
      </c>
    </row>
    <row r="103" ht="24" customHeight="1">
      <c r="A103" s="19" t="n"/>
      <c r="B103" s="23" t="inlineStr">
        <is>
          <t>76.09</t>
        </is>
      </c>
      <c r="C103" s="22" t="n"/>
      <c r="D103" s="21" t="n">
        <v>3371.13</v>
      </c>
    </row>
    <row r="104">
      <c r="A104" s="19" t="n"/>
      <c r="B104" s="20" t="inlineStr">
        <is>
          <t>91</t>
        </is>
      </c>
      <c r="C104" s="21" t="n">
        <v>41979.31</v>
      </c>
      <c r="D104" s="21" t="n">
        <v>3390</v>
      </c>
    </row>
    <row r="105" ht="24" customHeight="1">
      <c r="A105" s="19" t="n"/>
      <c r="B105" s="23" t="inlineStr">
        <is>
          <t>91.01</t>
        </is>
      </c>
      <c r="C105" s="21" t="n">
        <v>41979.31</v>
      </c>
      <c r="D105" s="22" t="n"/>
    </row>
    <row r="106" ht="24" customHeight="1">
      <c r="A106" s="19" t="n"/>
      <c r="B106" s="23" t="inlineStr">
        <is>
          <t>91.02</t>
        </is>
      </c>
      <c r="C106" s="22" t="n"/>
      <c r="D106" s="21" t="n">
        <v>3390</v>
      </c>
    </row>
    <row r="107">
      <c r="A107" s="24" t="n"/>
      <c r="B107" s="17" t="inlineStr">
        <is>
          <t>Оборот</t>
        </is>
      </c>
      <c r="C107" s="25" t="n">
        <v>77689270.87</v>
      </c>
      <c r="D107" s="25" t="n">
        <v>77689270.87</v>
      </c>
    </row>
    <row r="108" ht="36" customHeight="1">
      <c r="A108" s="24" t="n"/>
      <c r="B108" s="17" t="inlineStr">
        <is>
          <t>Конечное сальдо</t>
        </is>
      </c>
      <c r="C108" s="18" t="n"/>
      <c r="D108" s="18" t="n"/>
    </row>
    <row r="109" ht="48" customHeight="1">
      <c r="A109" s="17" t="inlineStr">
        <is>
          <t>Обороты за Июль 26</t>
        </is>
      </c>
      <c r="B109" s="17" t="inlineStr">
        <is>
          <t>Начальное сальдо</t>
        </is>
      </c>
      <c r="C109" s="18" t="n"/>
      <c r="D109" s="18" t="n"/>
    </row>
    <row r="110">
      <c r="A110" s="19" t="n"/>
      <c r="B110" s="20" t="inlineStr">
        <is>
          <t>55</t>
        </is>
      </c>
      <c r="C110" s="21" t="n">
        <v>79330887.09</v>
      </c>
      <c r="D110" s="21" t="n">
        <v>75487437.78</v>
      </c>
    </row>
    <row r="111" ht="24" customHeight="1">
      <c r="A111" s="19" t="n"/>
      <c r="B111" s="23" t="inlineStr">
        <is>
          <t>55.03</t>
        </is>
      </c>
      <c r="C111" s="21" t="n">
        <v>79330887.09</v>
      </c>
      <c r="D111" s="21" t="n">
        <v>75487437.78</v>
      </c>
    </row>
    <row r="112">
      <c r="A112" s="19" t="n"/>
      <c r="B112" s="20" t="inlineStr">
        <is>
          <t>57</t>
        </is>
      </c>
      <c r="C112" s="22" t="n"/>
      <c r="D112" s="21" t="n">
        <v>570000</v>
      </c>
    </row>
    <row r="113" ht="24" customHeight="1">
      <c r="A113" s="19" t="n"/>
      <c r="B113" s="23" t="inlineStr">
        <is>
          <t>57.01</t>
        </is>
      </c>
      <c r="C113" s="22" t="n"/>
      <c r="D113" s="21" t="n">
        <v>570000</v>
      </c>
    </row>
    <row r="114">
      <c r="A114" s="19" t="n"/>
      <c r="B114" s="20" t="inlineStr">
        <is>
          <t>58</t>
        </is>
      </c>
      <c r="C114" s="22" t="n"/>
      <c r="D114" s="21" t="n">
        <v>650000</v>
      </c>
    </row>
    <row r="115" ht="24" customHeight="1">
      <c r="A115" s="19" t="n"/>
      <c r="B115" s="23" t="inlineStr">
        <is>
          <t>58.03</t>
        </is>
      </c>
      <c r="C115" s="22" t="n"/>
      <c r="D115" s="21" t="n">
        <v>650000</v>
      </c>
    </row>
    <row r="116">
      <c r="A116" s="19" t="n"/>
      <c r="B116" s="20" t="inlineStr">
        <is>
          <t>60</t>
        </is>
      </c>
      <c r="C116" s="22" t="n"/>
      <c r="D116" s="21" t="n">
        <v>596776</v>
      </c>
    </row>
    <row r="117" ht="24" customHeight="1">
      <c r="A117" s="19" t="n"/>
      <c r="B117" s="23" t="inlineStr">
        <is>
          <t>60.02</t>
        </is>
      </c>
      <c r="C117" s="22" t="n"/>
      <c r="D117" s="21" t="n">
        <v>596776</v>
      </c>
    </row>
    <row r="118">
      <c r="A118" s="19" t="n"/>
      <c r="B118" s="20" t="inlineStr">
        <is>
          <t>62</t>
        </is>
      </c>
      <c r="C118" s="21" t="n">
        <v>981155.53</v>
      </c>
      <c r="D118" s="22" t="n"/>
    </row>
    <row r="119" ht="24" customHeight="1">
      <c r="A119" s="19" t="n"/>
      <c r="B119" s="23" t="inlineStr">
        <is>
          <t>62.01</t>
        </is>
      </c>
      <c r="C119" s="21" t="n">
        <v>892258.53</v>
      </c>
      <c r="D119" s="22" t="n"/>
    </row>
    <row r="120" ht="24" customHeight="1">
      <c r="A120" s="19" t="n"/>
      <c r="B120" s="23" t="inlineStr">
        <is>
          <t>62.02</t>
        </is>
      </c>
      <c r="C120" s="21" t="n">
        <v>88897</v>
      </c>
      <c r="D120" s="22" t="n"/>
    </row>
    <row r="121">
      <c r="A121" s="19" t="n"/>
      <c r="B121" s="20" t="inlineStr">
        <is>
          <t>68</t>
        </is>
      </c>
      <c r="C121" s="22" t="n"/>
      <c r="D121" s="21" t="n">
        <v>262913.56</v>
      </c>
    </row>
    <row r="122" ht="24" customHeight="1">
      <c r="A122" s="19" t="n"/>
      <c r="B122" s="23" t="inlineStr">
        <is>
          <t>68.90</t>
        </is>
      </c>
      <c r="C122" s="22" t="n"/>
      <c r="D122" s="21" t="n">
        <v>262913.56</v>
      </c>
    </row>
    <row r="123">
      <c r="A123" s="19" t="n"/>
      <c r="B123" s="20" t="inlineStr">
        <is>
          <t>69</t>
        </is>
      </c>
      <c r="C123" s="22" t="n"/>
      <c r="D123" s="21" t="n">
        <v>1085.61</v>
      </c>
    </row>
    <row r="124" ht="24" customHeight="1">
      <c r="A124" s="19" t="n"/>
      <c r="B124" s="23" t="inlineStr">
        <is>
          <t>69.11</t>
        </is>
      </c>
      <c r="C124" s="22" t="n"/>
      <c r="D124" s="21" t="n">
        <v>1085.61</v>
      </c>
    </row>
    <row r="125">
      <c r="A125" s="19" t="n"/>
      <c r="B125" s="20" t="inlineStr">
        <is>
          <t>70</t>
        </is>
      </c>
      <c r="C125" s="22" t="n"/>
      <c r="D125" s="21" t="n">
        <v>7850.77</v>
      </c>
    </row>
    <row r="126">
      <c r="A126" s="19" t="n"/>
      <c r="B126" s="20" t="inlineStr">
        <is>
          <t>76</t>
        </is>
      </c>
      <c r="C126" s="21" t="n">
        <v>91500</v>
      </c>
      <c r="D126" s="21" t="n">
        <v>353971.32</v>
      </c>
    </row>
    <row r="127" ht="24" customHeight="1">
      <c r="A127" s="19" t="n"/>
      <c r="B127" s="23" t="inlineStr">
        <is>
          <t>76.09</t>
        </is>
      </c>
      <c r="C127" s="21" t="n">
        <v>91500</v>
      </c>
      <c r="D127" s="22" t="n"/>
    </row>
    <row r="128" ht="24" customHeight="1">
      <c r="A128" s="19" t="n"/>
      <c r="B128" s="23" t="inlineStr">
        <is>
          <t>76.16</t>
        </is>
      </c>
      <c r="C128" s="22" t="n"/>
      <c r="D128" s="21" t="n">
        <v>353971.32</v>
      </c>
    </row>
    <row r="129">
      <c r="A129" s="19" t="n"/>
      <c r="B129" s="20" t="inlineStr">
        <is>
          <t>91</t>
        </is>
      </c>
      <c r="C129" s="21" t="n">
        <v>39433.16</v>
      </c>
      <c r="D129" s="21" t="n">
        <v>5137.66</v>
      </c>
    </row>
    <row r="130" ht="24" customHeight="1">
      <c r="A130" s="19" t="n"/>
      <c r="B130" s="23" t="inlineStr">
        <is>
          <t>91.01</t>
        </is>
      </c>
      <c r="C130" s="21" t="n">
        <v>39433.16</v>
      </c>
      <c r="D130" s="22" t="n"/>
    </row>
    <row r="131" ht="24" customHeight="1">
      <c r="A131" s="19" t="n"/>
      <c r="B131" s="23" t="inlineStr">
        <is>
          <t>91.02</t>
        </is>
      </c>
      <c r="C131" s="22" t="n"/>
      <c r="D131" s="21" t="n">
        <v>5137.66</v>
      </c>
    </row>
    <row r="132">
      <c r="A132" s="24" t="n"/>
      <c r="B132" s="17" t="inlineStr">
        <is>
          <t>Оборот</t>
        </is>
      </c>
      <c r="C132" s="25" t="n">
        <v>80442975.78</v>
      </c>
      <c r="D132" s="25" t="n">
        <v>77935172.7</v>
      </c>
    </row>
    <row r="133" ht="36" customHeight="1">
      <c r="A133" s="24" t="n"/>
      <c r="B133" s="17" t="inlineStr">
        <is>
          <t>Конечное сальдо</t>
        </is>
      </c>
      <c r="C133" s="25" t="n">
        <v>2507803.08</v>
      </c>
      <c r="D133" s="18" t="n"/>
    </row>
    <row r="134" ht="48" customHeight="1">
      <c r="A134" s="17" t="inlineStr">
        <is>
          <t>Обороты за Август 26</t>
        </is>
      </c>
      <c r="B134" s="17" t="inlineStr">
        <is>
          <t>Начальное сальдо</t>
        </is>
      </c>
      <c r="C134" s="25" t="n">
        <v>2507803.08</v>
      </c>
      <c r="D134" s="18" t="n"/>
    </row>
    <row r="135">
      <c r="A135" s="19" t="n"/>
      <c r="B135" s="20" t="inlineStr">
        <is>
          <t>55</t>
        </is>
      </c>
      <c r="C135" s="21" t="n">
        <v>44912893.77</v>
      </c>
      <c r="D135" s="21" t="n">
        <v>46734299.96</v>
      </c>
    </row>
    <row r="136" ht="24" customHeight="1">
      <c r="A136" s="19" t="n"/>
      <c r="B136" s="23" t="inlineStr">
        <is>
          <t>55.03</t>
        </is>
      </c>
      <c r="C136" s="21" t="n">
        <v>44912893.77</v>
      </c>
      <c r="D136" s="21" t="n">
        <v>46734299.96</v>
      </c>
    </row>
    <row r="137">
      <c r="A137" s="19" t="n"/>
      <c r="B137" s="20" t="inlineStr">
        <is>
          <t>57</t>
        </is>
      </c>
      <c r="C137" s="22" t="n"/>
      <c r="D137" s="21" t="n">
        <v>100000</v>
      </c>
    </row>
    <row r="138" ht="24" customHeight="1">
      <c r="A138" s="19" t="n"/>
      <c r="B138" s="23" t="inlineStr">
        <is>
          <t>57.01</t>
        </is>
      </c>
      <c r="C138" s="22" t="n"/>
      <c r="D138" s="21" t="n">
        <v>100000</v>
      </c>
    </row>
    <row r="139">
      <c r="A139" s="19" t="n"/>
      <c r="B139" s="20" t="inlineStr">
        <is>
          <t>58</t>
        </is>
      </c>
      <c r="C139" s="22" t="n"/>
      <c r="D139" s="21" t="n">
        <v>1200000</v>
      </c>
    </row>
    <row r="140" ht="24" customHeight="1">
      <c r="A140" s="19" t="n"/>
      <c r="B140" s="23" t="inlineStr">
        <is>
          <t>58.03</t>
        </is>
      </c>
      <c r="C140" s="22" t="n"/>
      <c r="D140" s="21" t="n">
        <v>1200000</v>
      </c>
    </row>
    <row r="141">
      <c r="A141" s="19" t="n"/>
      <c r="B141" s="20" t="inlineStr">
        <is>
          <t>60</t>
        </is>
      </c>
      <c r="C141" s="22" t="n"/>
      <c r="D141" s="21" t="n">
        <v>306983.95</v>
      </c>
    </row>
    <row r="142" ht="24" customHeight="1">
      <c r="A142" s="19" t="n"/>
      <c r="B142" s="23" t="inlineStr">
        <is>
          <t>60.02</t>
        </is>
      </c>
      <c r="C142" s="22" t="n"/>
      <c r="D142" s="21" t="n">
        <v>306983.95</v>
      </c>
    </row>
    <row r="143">
      <c r="A143" s="19" t="n"/>
      <c r="B143" s="20" t="inlineStr">
        <is>
          <t>62</t>
        </is>
      </c>
      <c r="C143" s="21" t="n">
        <v>1063066.84</v>
      </c>
      <c r="D143" s="22" t="n"/>
    </row>
    <row r="144" ht="24" customHeight="1">
      <c r="A144" s="19" t="n"/>
      <c r="B144" s="23" t="inlineStr">
        <is>
          <t>62.01</t>
        </is>
      </c>
      <c r="C144" s="21" t="n">
        <v>1003021.84</v>
      </c>
      <c r="D144" s="22" t="n"/>
    </row>
    <row r="145" ht="24" customHeight="1">
      <c r="A145" s="19" t="n"/>
      <c r="B145" s="23" t="inlineStr">
        <is>
          <t>62.02</t>
        </is>
      </c>
      <c r="C145" s="21" t="n">
        <v>60045</v>
      </c>
      <c r="D145" s="22" t="n"/>
    </row>
    <row r="146">
      <c r="A146" s="19" t="n"/>
      <c r="B146" s="20" t="inlineStr">
        <is>
          <t>68</t>
        </is>
      </c>
      <c r="C146" s="22" t="n"/>
      <c r="D146" s="21" t="n">
        <v>95112.60000000001</v>
      </c>
    </row>
    <row r="147" ht="24" customHeight="1">
      <c r="A147" s="19" t="n"/>
      <c r="B147" s="23" t="inlineStr">
        <is>
          <t>68.90</t>
        </is>
      </c>
      <c r="C147" s="22" t="n"/>
      <c r="D147" s="21" t="n">
        <v>95112.60000000001</v>
      </c>
    </row>
    <row r="148">
      <c r="A148" s="19" t="n"/>
      <c r="B148" s="20" t="inlineStr">
        <is>
          <t>69</t>
        </is>
      </c>
      <c r="C148" s="22" t="n"/>
      <c r="D148" s="21" t="n">
        <v>1316.66</v>
      </c>
    </row>
    <row r="149" ht="24" customHeight="1">
      <c r="A149" s="19" t="n"/>
      <c r="B149" s="23" t="inlineStr">
        <is>
          <t>69.11</t>
        </is>
      </c>
      <c r="C149" s="22" t="n"/>
      <c r="D149" s="21" t="n">
        <v>1316.66</v>
      </c>
    </row>
    <row r="150">
      <c r="A150" s="19" t="n"/>
      <c r="B150" s="20" t="inlineStr">
        <is>
          <t>76</t>
        </is>
      </c>
      <c r="C150" s="22" t="n"/>
      <c r="D150" s="21" t="n">
        <v>65136.41</v>
      </c>
    </row>
    <row r="151" ht="24" customHeight="1">
      <c r="A151" s="19" t="n"/>
      <c r="B151" s="23" t="inlineStr">
        <is>
          <t>76.05</t>
        </is>
      </c>
      <c r="C151" s="22" t="n"/>
      <c r="D151" s="21" t="n">
        <v>10000</v>
      </c>
    </row>
    <row r="152" ht="24" customHeight="1">
      <c r="A152" s="19" t="n"/>
      <c r="B152" s="23" t="inlineStr">
        <is>
          <t>76.09</t>
        </is>
      </c>
      <c r="C152" s="22" t="n"/>
      <c r="D152" s="21" t="n">
        <v>55136.41</v>
      </c>
    </row>
    <row r="153">
      <c r="A153" s="19" t="n"/>
      <c r="B153" s="20" t="inlineStr">
        <is>
          <t>91</t>
        </is>
      </c>
      <c r="C153" s="21" t="n">
        <v>22375.89</v>
      </c>
      <c r="D153" s="21" t="n">
        <v>3290</v>
      </c>
    </row>
    <row r="154" ht="24" customHeight="1">
      <c r="A154" s="19" t="n"/>
      <c r="B154" s="23" t="inlineStr">
        <is>
          <t>91.01</t>
        </is>
      </c>
      <c r="C154" s="21" t="n">
        <v>22375.89</v>
      </c>
      <c r="D154" s="22" t="n"/>
    </row>
    <row r="155" ht="24" customHeight="1">
      <c r="A155" s="19" t="n"/>
      <c r="B155" s="23" t="inlineStr">
        <is>
          <t>91.02</t>
        </is>
      </c>
      <c r="C155" s="22" t="n"/>
      <c r="D155" s="21" t="n">
        <v>3290</v>
      </c>
    </row>
    <row r="156">
      <c r="A156" s="24" t="n"/>
      <c r="B156" s="17" t="inlineStr">
        <is>
          <t>Оборот</t>
        </is>
      </c>
      <c r="C156" s="25" t="n">
        <v>45998336.5</v>
      </c>
      <c r="D156" s="25" t="n">
        <v>48506139.58</v>
      </c>
    </row>
    <row r="157" ht="36" customHeight="1">
      <c r="A157" s="24" t="n"/>
      <c r="B157" s="17" t="inlineStr">
        <is>
          <t>Конечное сальдо</t>
        </is>
      </c>
      <c r="C157" s="18" t="n"/>
      <c r="D157" s="18" t="n"/>
    </row>
    <row r="158" ht="48" customHeight="1">
      <c r="A158" s="17" t="inlineStr">
        <is>
          <t>Обороты за Сентябрь 26</t>
        </is>
      </c>
      <c r="B158" s="17" t="inlineStr">
        <is>
          <t>Начальное сальдо</t>
        </is>
      </c>
      <c r="C158" s="18" t="n"/>
      <c r="D158" s="18" t="n"/>
    </row>
    <row r="159">
      <c r="A159" s="19" t="n"/>
      <c r="B159" s="20" t="inlineStr">
        <is>
          <t>55</t>
        </is>
      </c>
      <c r="C159" s="21" t="n">
        <v>37374910.75</v>
      </c>
      <c r="D159" s="21" t="n">
        <v>35553504.56</v>
      </c>
    </row>
    <row r="160" ht="24" customHeight="1">
      <c r="A160" s="19" t="n"/>
      <c r="B160" s="23" t="inlineStr">
        <is>
          <t>55.03</t>
        </is>
      </c>
      <c r="C160" s="21" t="n">
        <v>37374910.75</v>
      </c>
      <c r="D160" s="21" t="n">
        <v>35553504.56</v>
      </c>
    </row>
    <row r="161">
      <c r="A161" s="19" t="n"/>
      <c r="B161" s="20" t="inlineStr">
        <is>
          <t>57</t>
        </is>
      </c>
      <c r="C161" s="21" t="n">
        <v>9900</v>
      </c>
      <c r="D161" s="21" t="n">
        <v>1785000</v>
      </c>
    </row>
    <row r="162" ht="24" customHeight="1">
      <c r="A162" s="19" t="n"/>
      <c r="B162" s="23" t="inlineStr">
        <is>
          <t>57.01</t>
        </is>
      </c>
      <c r="C162" s="21" t="n">
        <v>9900</v>
      </c>
      <c r="D162" s="21" t="n">
        <v>1785000</v>
      </c>
    </row>
    <row r="163">
      <c r="A163" s="19" t="n"/>
      <c r="B163" s="20" t="inlineStr">
        <is>
          <t>60</t>
        </is>
      </c>
      <c r="C163" s="22" t="n"/>
      <c r="D163" s="21" t="n">
        <v>182267.84</v>
      </c>
    </row>
    <row r="164" ht="24" customHeight="1">
      <c r="A164" s="19" t="n"/>
      <c r="B164" s="23" t="inlineStr">
        <is>
          <t>60.01</t>
        </is>
      </c>
      <c r="C164" s="22" t="n"/>
      <c r="D164" s="21" t="n">
        <v>68830</v>
      </c>
    </row>
    <row r="165" ht="24" customHeight="1">
      <c r="A165" s="19" t="n"/>
      <c r="B165" s="23" t="inlineStr">
        <is>
          <t>60.02</t>
        </is>
      </c>
      <c r="C165" s="22" t="n"/>
      <c r="D165" s="21" t="n">
        <v>113437.84</v>
      </c>
    </row>
    <row r="166">
      <c r="A166" s="19" t="n"/>
      <c r="B166" s="20" t="inlineStr">
        <is>
          <t>62</t>
        </is>
      </c>
      <c r="C166" s="21" t="n">
        <v>552174.36</v>
      </c>
      <c r="D166" s="22" t="n"/>
    </row>
    <row r="167" ht="24" customHeight="1">
      <c r="A167" s="19" t="n"/>
      <c r="B167" s="23" t="inlineStr">
        <is>
          <t>62.01</t>
        </is>
      </c>
      <c r="C167" s="21" t="n">
        <v>489669.36</v>
      </c>
      <c r="D167" s="22" t="n"/>
    </row>
    <row r="168" ht="24" customHeight="1">
      <c r="A168" s="19" t="n"/>
      <c r="B168" s="23" t="inlineStr">
        <is>
          <t>62.02</t>
        </is>
      </c>
      <c r="C168" s="21" t="n">
        <v>62505</v>
      </c>
      <c r="D168" s="22" t="n"/>
    </row>
    <row r="169">
      <c r="A169" s="19" t="n"/>
      <c r="B169" s="20" t="inlineStr">
        <is>
          <t>68</t>
        </is>
      </c>
      <c r="C169" s="22" t="n"/>
      <c r="D169" s="21" t="n">
        <v>93734.96000000001</v>
      </c>
    </row>
    <row r="170" ht="24" customHeight="1">
      <c r="A170" s="19" t="n"/>
      <c r="B170" s="23" t="inlineStr">
        <is>
          <t>68.90</t>
        </is>
      </c>
      <c r="C170" s="22" t="n"/>
      <c r="D170" s="21" t="n">
        <v>93734.96000000001</v>
      </c>
    </row>
    <row r="171">
      <c r="A171" s="19" t="n"/>
      <c r="B171" s="20" t="inlineStr">
        <is>
          <t>69</t>
        </is>
      </c>
      <c r="C171" s="22" t="n"/>
      <c r="D171" s="21" t="n">
        <v>1168.42</v>
      </c>
    </row>
    <row r="172" ht="24" customHeight="1">
      <c r="A172" s="19" t="n"/>
      <c r="B172" s="23" t="inlineStr">
        <is>
          <t>69.11</t>
        </is>
      </c>
      <c r="C172" s="22" t="n"/>
      <c r="D172" s="21" t="n">
        <v>1168.42</v>
      </c>
    </row>
    <row r="173">
      <c r="A173" s="19" t="n"/>
      <c r="B173" s="20" t="inlineStr">
        <is>
          <t>71</t>
        </is>
      </c>
      <c r="C173" s="22" t="n"/>
      <c r="D173" s="21" t="n">
        <v>49629.3</v>
      </c>
    </row>
    <row r="174" ht="24" customHeight="1">
      <c r="A174" s="19" t="n"/>
      <c r="B174" s="23" t="inlineStr">
        <is>
          <t>71.01</t>
        </is>
      </c>
      <c r="C174" s="22" t="n"/>
      <c r="D174" s="21" t="n">
        <v>49629.3</v>
      </c>
    </row>
    <row r="175">
      <c r="A175" s="19" t="n"/>
      <c r="B175" s="20" t="inlineStr">
        <is>
          <t>76</t>
        </is>
      </c>
      <c r="C175" s="22" t="n"/>
      <c r="D175" s="21" t="n">
        <v>75511.98</v>
      </c>
    </row>
    <row r="176" ht="24" customHeight="1">
      <c r="A176" s="19" t="n"/>
      <c r="B176" s="23" t="inlineStr">
        <is>
          <t>76.09</t>
        </is>
      </c>
      <c r="C176" s="22" t="n"/>
      <c r="D176" s="21" t="n">
        <v>75511.98</v>
      </c>
    </row>
    <row r="177">
      <c r="A177" s="19" t="n"/>
      <c r="B177" s="20" t="inlineStr">
        <is>
          <t>91</t>
        </is>
      </c>
      <c r="C177" s="21" t="n">
        <v>17759.01</v>
      </c>
      <c r="D177" s="21" t="n">
        <v>3290</v>
      </c>
    </row>
    <row r="178" ht="24" customHeight="1">
      <c r="A178" s="19" t="n"/>
      <c r="B178" s="23" t="inlineStr">
        <is>
          <t>91.01</t>
        </is>
      </c>
      <c r="C178" s="21" t="n">
        <v>17759.01</v>
      </c>
      <c r="D178" s="22" t="n"/>
    </row>
    <row r="179" ht="24" customHeight="1">
      <c r="A179" s="19" t="n"/>
      <c r="B179" s="23" t="inlineStr">
        <is>
          <t>91.02</t>
        </is>
      </c>
      <c r="C179" s="22" t="n"/>
      <c r="D179" s="21" t="n">
        <v>3290</v>
      </c>
    </row>
    <row r="180">
      <c r="A180" s="24" t="n"/>
      <c r="B180" s="17" t="inlineStr">
        <is>
          <t>Оборот</t>
        </is>
      </c>
      <c r="C180" s="25" t="n">
        <v>37954744.12</v>
      </c>
      <c r="D180" s="25" t="n">
        <v>37744107.06</v>
      </c>
    </row>
    <row r="181" ht="36" customHeight="1">
      <c r="A181" s="24" t="n"/>
      <c r="B181" s="17" t="inlineStr">
        <is>
          <t>Конечное сальдо</t>
        </is>
      </c>
      <c r="C181" s="25" t="n">
        <v>210637.06</v>
      </c>
      <c r="D181" s="18" t="n"/>
    </row>
    <row r="182">
      <c r="A182" s="26" t="n"/>
      <c r="B182" s="27" t="inlineStr">
        <is>
          <t>Оборот</t>
        </is>
      </c>
      <c r="C182" s="28" t="n">
        <v>315483448.66</v>
      </c>
      <c r="D182" s="28" t="n">
        <v>315272811.6</v>
      </c>
    </row>
    <row r="183" ht="38.25" customHeight="1">
      <c r="A183" s="26" t="n"/>
      <c r="B183" s="27" t="inlineStr">
        <is>
          <t>Конечное сальдо</t>
        </is>
      </c>
      <c r="C183" s="28" t="n">
        <v>210637.06</v>
      </c>
      <c r="D183" s="29" t="n"/>
    </row>
    <row r="184">
      <c r="A184" s="12" t="n"/>
      <c r="B184" s="12" t="n"/>
      <c r="C184" s="12" t="n"/>
      <c r="D184" s="12" t="n"/>
    </row>
    <row r="185">
      <c r="A185" s="12" t="n"/>
      <c r="B185" s="12" t="n"/>
      <c r="C185" s="12" t="n"/>
      <c r="D185" s="12" t="n"/>
    </row>
    <row r="186">
      <c r="A186" s="12" t="n"/>
      <c r="B186" s="12" t="n"/>
      <c r="C186" s="12" t="n"/>
      <c r="D186" s="12" t="n"/>
    </row>
    <row r="187">
      <c r="A187" s="12" t="n"/>
      <c r="B187" s="12" t="n"/>
      <c r="C187" s="12" t="n"/>
      <c r="D187" s="12" t="n"/>
    </row>
    <row r="188">
      <c r="A188" s="12" t="n"/>
      <c r="B188" s="12" t="n"/>
      <c r="C188" s="12" t="n"/>
      <c r="D188" s="12" t="n"/>
    </row>
    <row r="189">
      <c r="A189" s="12" t="n"/>
      <c r="B189" s="12" t="n"/>
      <c r="C189" s="12" t="n"/>
      <c r="D189" s="12" t="n"/>
    </row>
    <row r="190">
      <c r="A190" s="12" t="n"/>
      <c r="B190" s="12" t="n"/>
      <c r="C190" s="12" t="n"/>
      <c r="D190" s="12" t="n"/>
    </row>
    <row r="191">
      <c r="A191" s="12" t="n"/>
      <c r="B191" s="12" t="n"/>
      <c r="C191" s="12" t="n"/>
      <c r="D191" s="12" t="n"/>
    </row>
    <row r="192">
      <c r="A192" s="12" t="n"/>
      <c r="B192" s="12" t="n"/>
      <c r="C192" s="12" t="n"/>
      <c r="D192" s="12" t="n"/>
    </row>
    <row r="193">
      <c r="A193" s="12" t="n"/>
      <c r="B193" s="12" t="n"/>
      <c r="C193" s="12" t="n"/>
      <c r="D193" s="12" t="n"/>
    </row>
    <row r="194">
      <c r="A194" s="12" t="n"/>
      <c r="B194" s="12" t="n"/>
      <c r="C194" s="12" t="n"/>
      <c r="D194" s="12" t="n"/>
    </row>
    <row r="195">
      <c r="A195" s="12" t="n"/>
      <c r="B195" s="12" t="n"/>
      <c r="C195" s="12" t="n"/>
      <c r="D195" s="12" t="n"/>
    </row>
    <row r="196">
      <c r="A196" s="12" t="n"/>
      <c r="B196" s="12" t="n"/>
      <c r="C196" s="12" t="n"/>
      <c r="D196" s="12" t="n"/>
    </row>
    <row r="197">
      <c r="A197" s="12" t="n"/>
      <c r="B197" s="12" t="n"/>
      <c r="C197" s="12" t="n"/>
      <c r="D197" s="12" t="n"/>
    </row>
    <row r="198">
      <c r="A198" s="12" t="n"/>
      <c r="B198" s="12" t="n"/>
      <c r="C198" s="12" t="n"/>
      <c r="D198" s="12" t="n"/>
    </row>
    <row r="199">
      <c r="A199" s="12" t="n"/>
      <c r="B199" s="12" t="n"/>
      <c r="C199" s="12" t="n"/>
      <c r="D199" s="12" t="n"/>
    </row>
    <row r="200">
      <c r="A200" s="12" t="n"/>
      <c r="B200" s="12" t="n"/>
      <c r="C200" s="12" t="n"/>
      <c r="D200" s="12" t="n"/>
    </row>
    <row r="201">
      <c r="A201" s="12" t="n"/>
      <c r="B201" s="12" t="n"/>
      <c r="C201" s="12" t="n"/>
      <c r="D201" s="12" t="n"/>
    </row>
    <row r="202">
      <c r="A202" s="12" t="n"/>
      <c r="B202" s="12" t="n"/>
      <c r="C202" s="12" t="n"/>
      <c r="D202" s="12" t="n"/>
    </row>
    <row r="203">
      <c r="A203" s="12" t="n"/>
      <c r="B203" s="12" t="n"/>
      <c r="C203" s="12" t="n"/>
      <c r="D203" s="12" t="n"/>
    </row>
    <row r="204">
      <c r="A204" s="12" t="n"/>
      <c r="B204" s="12" t="n"/>
      <c r="C204" s="12" t="n"/>
      <c r="D204" s="12" t="n"/>
    </row>
    <row r="205">
      <c r="A205" s="12" t="n"/>
      <c r="B205" s="12" t="n"/>
      <c r="C205" s="12" t="n"/>
      <c r="D205" s="12" t="n"/>
    </row>
    <row r="206">
      <c r="A206" s="12" t="n"/>
      <c r="B206" s="12" t="n"/>
      <c r="C206" s="12" t="n"/>
      <c r="D206" s="12" t="n"/>
    </row>
    <row r="207">
      <c r="A207" s="12" t="n"/>
      <c r="B207" s="12" t="n"/>
      <c r="C207" s="12" t="n"/>
      <c r="D207" s="12" t="n"/>
    </row>
    <row r="208">
      <c r="A208" s="12" t="n"/>
      <c r="B208" s="12" t="n"/>
      <c r="C208" s="12" t="n"/>
      <c r="D208" s="12" t="n"/>
    </row>
    <row r="209">
      <c r="A209" s="12" t="n"/>
      <c r="B209" s="12" t="n"/>
      <c r="C209" s="12" t="n"/>
      <c r="D209" s="12" t="n"/>
    </row>
    <row r="210">
      <c r="A210" s="12" t="n"/>
      <c r="B210" s="12" t="n"/>
      <c r="C210" s="12" t="n"/>
      <c r="D210" s="12" t="n"/>
    </row>
    <row r="211">
      <c r="A211" s="12" t="n"/>
      <c r="B211" s="12" t="n"/>
      <c r="C211" s="12" t="n"/>
      <c r="D211" s="12" t="n"/>
    </row>
    <row r="212">
      <c r="A212" s="12" t="n"/>
      <c r="B212" s="12" t="n"/>
      <c r="C212" s="12" t="n"/>
      <c r="D212" s="12" t="n"/>
    </row>
    <row r="213">
      <c r="A213" s="12" t="n"/>
      <c r="B213" s="12" t="n"/>
      <c r="C213" s="12" t="n"/>
      <c r="D213" s="12" t="n"/>
    </row>
    <row r="214">
      <c r="A214" s="12" t="n"/>
      <c r="B214" s="12" t="n"/>
      <c r="C214" s="12" t="n"/>
      <c r="D214" s="12" t="n"/>
    </row>
    <row r="215">
      <c r="A215" s="12" t="n"/>
      <c r="B215" s="12" t="n"/>
      <c r="C215" s="12" t="n"/>
      <c r="D215" s="12" t="n"/>
    </row>
    <row r="216">
      <c r="A216" s="12" t="n"/>
      <c r="B216" s="12" t="n"/>
      <c r="C216" s="12" t="n"/>
      <c r="D216" s="12" t="n"/>
    </row>
    <row r="217">
      <c r="A217" s="12" t="n"/>
      <c r="B217" s="12" t="n"/>
      <c r="C217" s="12" t="n"/>
      <c r="D217" s="12" t="n"/>
    </row>
  </sheetData>
  <mergeCells count="6">
    <mergeCell ref="A1:D1"/>
    <mergeCell ref="A6:D6"/>
    <mergeCell ref="C8:C9"/>
    <mergeCell ref="A4:D4"/>
    <mergeCell ref="D8:D9"/>
    <mergeCell ref="B8:B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2"/>
  <sheetViews>
    <sheetView topLeftCell="A28" workbookViewId="0">
      <selection activeCell="A1" sqref="A1:D192"/>
    </sheetView>
  </sheetViews>
  <sheetFormatPr baseColWidth="8" defaultRowHeight="15"/>
  <cols>
    <col width="12.28515625" customWidth="1" min="3" max="3"/>
    <col width="13.28515625" customWidth="1" min="4" max="4"/>
  </cols>
  <sheetData>
    <row r="1" ht="15" customHeight="1">
      <c r="A1" s="69" t="inlineStr">
        <is>
          <t xml:space="preserve">ООО "ЛЕГКИЕ ДЕНЬКИ"                                    </t>
        </is>
      </c>
    </row>
    <row r="2" ht="15.75" customHeight="1">
      <c r="A2" s="70" t="inlineStr">
        <is>
          <t>Анализ счета 51 за 2026 г.</t>
        </is>
      </c>
      <c r="B2" s="30" t="n"/>
      <c r="C2" s="30" t="n"/>
      <c r="D2" s="30" t="n"/>
    </row>
    <row r="3">
      <c r="A3" s="31" t="n"/>
      <c r="B3" s="31" t="n"/>
      <c r="C3" s="31" t="n"/>
      <c r="D3" s="31" t="n"/>
    </row>
    <row r="4" ht="15" customHeight="1">
      <c r="A4" s="73" t="inlineStr">
        <is>
          <t>Выводимые данные: БУ (данные бухгалтерского учета)</t>
        </is>
      </c>
    </row>
    <row r="5">
      <c r="A5" s="73" t="n"/>
      <c r="B5" s="73" t="n"/>
      <c r="C5" s="30" t="n"/>
      <c r="D5" s="30" t="n"/>
    </row>
    <row r="6">
      <c r="A6" s="74" t="inlineStr">
        <is>
          <t>Счет</t>
        </is>
      </c>
      <c r="B6" s="74" t="inlineStr">
        <is>
          <t>Кор. Счет</t>
        </is>
      </c>
      <c r="C6" s="74" t="inlineStr">
        <is>
          <t>Дебет</t>
        </is>
      </c>
      <c r="D6" s="74" t="inlineStr">
        <is>
          <t>Кредит</t>
        </is>
      </c>
    </row>
    <row r="7">
      <c r="A7" s="74" t="inlineStr">
        <is>
          <t>Период</t>
        </is>
      </c>
      <c r="B7" s="95" t="n"/>
      <c r="C7" s="95" t="n"/>
      <c r="D7" s="95" t="n"/>
    </row>
    <row r="8" ht="38.25" customHeight="1">
      <c r="A8" s="77" t="inlineStr">
        <is>
          <t>51</t>
        </is>
      </c>
      <c r="B8" s="77" t="inlineStr">
        <is>
          <t>Начальное сальдо</t>
        </is>
      </c>
      <c r="C8" s="78" t="n">
        <v>1729864.24</v>
      </c>
      <c r="D8" s="79" t="n"/>
    </row>
    <row r="9" ht="48" customHeight="1">
      <c r="A9" s="80" t="inlineStr">
        <is>
          <t>Обороты за Январь 26</t>
        </is>
      </c>
      <c r="B9" s="80" t="inlineStr">
        <is>
          <t>Начальное сальдо</t>
        </is>
      </c>
      <c r="C9" s="81" t="n">
        <v>1729864.24</v>
      </c>
      <c r="D9" s="82" t="n"/>
    </row>
    <row r="10">
      <c r="A10" s="83" t="n"/>
      <c r="B10" s="84" t="inlineStr">
        <is>
          <t>60</t>
        </is>
      </c>
      <c r="C10" s="85" t="n"/>
      <c r="D10" s="86" t="n">
        <v>581</v>
      </c>
    </row>
    <row r="11" ht="24" customHeight="1">
      <c r="A11" s="83" t="n"/>
      <c r="B11" s="87" t="inlineStr">
        <is>
          <t>60.01</t>
        </is>
      </c>
      <c r="C11" s="85" t="n"/>
      <c r="D11" s="86" t="n">
        <v>581</v>
      </c>
    </row>
    <row r="12">
      <c r="A12" s="83" t="n"/>
      <c r="B12" s="84" t="inlineStr">
        <is>
          <t>68</t>
        </is>
      </c>
      <c r="C12" s="85" t="n"/>
      <c r="D12" s="88" t="n">
        <v>200000</v>
      </c>
    </row>
    <row r="13" ht="24" customHeight="1">
      <c r="A13" s="83" t="n"/>
      <c r="B13" s="87" t="inlineStr">
        <is>
          <t>68.90</t>
        </is>
      </c>
      <c r="C13" s="85" t="n"/>
      <c r="D13" s="88" t="n">
        <v>200000</v>
      </c>
    </row>
    <row r="14">
      <c r="A14" s="83" t="n"/>
      <c r="B14" s="84" t="inlineStr">
        <is>
          <t>75</t>
        </is>
      </c>
      <c r="C14" s="85" t="n"/>
      <c r="D14" s="88" t="n">
        <v>1487700</v>
      </c>
    </row>
    <row r="15" ht="24" customHeight="1">
      <c r="A15" s="83" t="n"/>
      <c r="B15" s="87" t="inlineStr">
        <is>
          <t>75.02</t>
        </is>
      </c>
      <c r="C15" s="85" t="n"/>
      <c r="D15" s="88" t="n">
        <v>1487700</v>
      </c>
    </row>
    <row r="16">
      <c r="A16" s="83" t="n"/>
      <c r="B16" s="84" t="inlineStr">
        <is>
          <t>91</t>
        </is>
      </c>
      <c r="C16" s="85" t="n"/>
      <c r="D16" s="88" t="n">
        <v>15199</v>
      </c>
    </row>
    <row r="17" ht="24" customHeight="1">
      <c r="A17" s="83" t="n"/>
      <c r="B17" s="87" t="inlineStr">
        <is>
          <t>91.02</t>
        </is>
      </c>
      <c r="C17" s="85" t="n"/>
      <c r="D17" s="88" t="n">
        <v>15199</v>
      </c>
    </row>
    <row r="18">
      <c r="A18" s="89" t="n"/>
      <c r="B18" s="80" t="inlineStr">
        <is>
          <t>Оборот</t>
        </is>
      </c>
      <c r="C18" s="82" t="n"/>
      <c r="D18" s="81" t="n">
        <v>1703480</v>
      </c>
    </row>
    <row r="19" ht="36" customHeight="1">
      <c r="A19" s="89" t="n"/>
      <c r="B19" s="80" t="inlineStr">
        <is>
          <t>Конечное сальдо</t>
        </is>
      </c>
      <c r="C19" s="81" t="n">
        <v>26384.24</v>
      </c>
      <c r="D19" s="82" t="n"/>
    </row>
    <row r="20" ht="48" customHeight="1">
      <c r="A20" s="80" t="inlineStr">
        <is>
          <t>Обороты за Февраль 26</t>
        </is>
      </c>
      <c r="B20" s="80" t="inlineStr">
        <is>
          <t>Начальное сальдо</t>
        </is>
      </c>
      <c r="C20" s="81" t="n">
        <v>26384.24</v>
      </c>
      <c r="D20" s="82" t="n"/>
    </row>
    <row r="21">
      <c r="A21" s="83" t="n"/>
      <c r="B21" s="84" t="inlineStr">
        <is>
          <t>51</t>
        </is>
      </c>
      <c r="C21" s="86" t="n">
        <v>490</v>
      </c>
      <c r="D21" s="86" t="n">
        <v>490</v>
      </c>
    </row>
    <row r="22">
      <c r="A22" s="83" t="n"/>
      <c r="B22" s="84" t="inlineStr">
        <is>
          <t>60</t>
        </is>
      </c>
      <c r="C22" s="85" t="n"/>
      <c r="D22" s="88" t="n">
        <v>2443</v>
      </c>
    </row>
    <row r="23" ht="24" customHeight="1">
      <c r="A23" s="83" t="n"/>
      <c r="B23" s="87" t="inlineStr">
        <is>
          <t>60.01</t>
        </is>
      </c>
      <c r="C23" s="85" t="n"/>
      <c r="D23" s="88" t="n">
        <v>1800</v>
      </c>
    </row>
    <row r="24" ht="24" customHeight="1">
      <c r="A24" s="83" t="n"/>
      <c r="B24" s="87" t="inlineStr">
        <is>
          <t>60.02</t>
        </is>
      </c>
      <c r="C24" s="85" t="n"/>
      <c r="D24" s="86" t="n">
        <v>643</v>
      </c>
    </row>
    <row r="25">
      <c r="A25" s="83" t="n"/>
      <c r="B25" s="84" t="inlineStr">
        <is>
          <t>91</t>
        </is>
      </c>
      <c r="C25" s="85" t="n"/>
      <c r="D25" s="86" t="n">
        <v>689</v>
      </c>
    </row>
    <row r="26" ht="24" customHeight="1">
      <c r="A26" s="83" t="n"/>
      <c r="B26" s="87" t="inlineStr">
        <is>
          <t>91.02</t>
        </is>
      </c>
      <c r="C26" s="85" t="n"/>
      <c r="D26" s="86" t="n">
        <v>689</v>
      </c>
    </row>
    <row r="27">
      <c r="A27" s="89" t="n"/>
      <c r="B27" s="80" t="inlineStr">
        <is>
          <t>Оборот</t>
        </is>
      </c>
      <c r="C27" s="90" t="n">
        <v>490</v>
      </c>
      <c r="D27" s="81" t="n">
        <v>3622</v>
      </c>
    </row>
    <row r="28" ht="36" customHeight="1">
      <c r="A28" s="89" t="n"/>
      <c r="B28" s="80" t="inlineStr">
        <is>
          <t>Конечное сальдо</t>
        </is>
      </c>
      <c r="C28" s="81" t="n">
        <v>23252.24</v>
      </c>
      <c r="D28" s="82" t="n"/>
    </row>
    <row r="29" ht="48" customHeight="1">
      <c r="A29" s="80" t="inlineStr">
        <is>
          <t>Обороты за Апрель 26</t>
        </is>
      </c>
      <c r="B29" s="80" t="inlineStr">
        <is>
          <t>Начальное сальдо</t>
        </is>
      </c>
      <c r="C29" s="81" t="n">
        <v>23252.24</v>
      </c>
      <c r="D29" s="82" t="n"/>
    </row>
    <row r="30">
      <c r="A30" s="83" t="n"/>
      <c r="B30" s="84" t="inlineStr">
        <is>
          <t>51</t>
        </is>
      </c>
      <c r="C30" s="86" t="n">
        <v>300</v>
      </c>
      <c r="D30" s="86" t="n">
        <v>300</v>
      </c>
    </row>
    <row r="31">
      <c r="A31" s="83" t="n"/>
      <c r="B31" s="84" t="inlineStr">
        <is>
          <t>66</t>
        </is>
      </c>
      <c r="C31" s="88" t="n">
        <v>189000</v>
      </c>
      <c r="D31" s="85" t="n"/>
    </row>
    <row r="32" ht="24" customHeight="1">
      <c r="A32" s="83" t="n"/>
      <c r="B32" s="87" t="inlineStr">
        <is>
          <t>66.03</t>
        </is>
      </c>
      <c r="C32" s="88" t="n">
        <v>189000</v>
      </c>
      <c r="D32" s="85" t="n"/>
    </row>
    <row r="33">
      <c r="A33" s="83" t="n"/>
      <c r="B33" s="84" t="inlineStr">
        <is>
          <t>68</t>
        </is>
      </c>
      <c r="C33" s="85" t="n"/>
      <c r="D33" s="86" t="n">
        <v>509</v>
      </c>
    </row>
    <row r="34" ht="24" customHeight="1">
      <c r="A34" s="83" t="n"/>
      <c r="B34" s="87" t="inlineStr">
        <is>
          <t>68.90</t>
        </is>
      </c>
      <c r="C34" s="85" t="n"/>
      <c r="D34" s="86" t="n">
        <v>509</v>
      </c>
    </row>
    <row r="35">
      <c r="A35" s="83" t="n"/>
      <c r="B35" s="84" t="inlineStr">
        <is>
          <t>70</t>
        </is>
      </c>
      <c r="C35" s="85" t="n"/>
      <c r="D35" s="88" t="n">
        <v>3410</v>
      </c>
    </row>
    <row r="36">
      <c r="A36" s="83" t="n"/>
      <c r="B36" s="84" t="inlineStr">
        <is>
          <t>76</t>
        </is>
      </c>
      <c r="C36" s="85" t="n"/>
      <c r="D36" s="88" t="n">
        <v>180540.66</v>
      </c>
    </row>
    <row r="37" ht="24" customHeight="1">
      <c r="A37" s="83" t="n"/>
      <c r="B37" s="87" t="inlineStr">
        <is>
          <t>76.09</t>
        </is>
      </c>
      <c r="C37" s="85" t="n"/>
      <c r="D37" s="88" t="n">
        <v>180540.66</v>
      </c>
    </row>
    <row r="38">
      <c r="A38" s="83" t="n"/>
      <c r="B38" s="84" t="inlineStr">
        <is>
          <t>91</t>
        </is>
      </c>
      <c r="C38" s="85" t="n"/>
      <c r="D38" s="88" t="n">
        <v>27298.24</v>
      </c>
    </row>
    <row r="39" ht="24" customHeight="1">
      <c r="A39" s="83" t="n"/>
      <c r="B39" s="87" t="inlineStr">
        <is>
          <t>91.02</t>
        </is>
      </c>
      <c r="C39" s="85" t="n"/>
      <c r="D39" s="88" t="n">
        <v>27298.24</v>
      </c>
    </row>
    <row r="40">
      <c r="A40" s="89" t="n"/>
      <c r="B40" s="80" t="inlineStr">
        <is>
          <t>Оборот</t>
        </is>
      </c>
      <c r="C40" s="81" t="n">
        <v>189300</v>
      </c>
      <c r="D40" s="81" t="n">
        <v>212057.9</v>
      </c>
    </row>
    <row r="41" ht="36" customHeight="1">
      <c r="A41" s="89" t="n"/>
      <c r="B41" s="80" t="inlineStr">
        <is>
          <t>Конечное сальдо</t>
        </is>
      </c>
      <c r="C41" s="90" t="n">
        <v>494.34</v>
      </c>
      <c r="D41" s="82" t="n"/>
    </row>
    <row r="42" ht="36" customHeight="1">
      <c r="A42" s="80" t="inlineStr">
        <is>
          <t>Обороты за Май 26</t>
        </is>
      </c>
      <c r="B42" s="80" t="inlineStr">
        <is>
          <t>Начальное сальдо</t>
        </is>
      </c>
      <c r="C42" s="90" t="n">
        <v>494.34</v>
      </c>
      <c r="D42" s="82" t="n"/>
    </row>
    <row r="43">
      <c r="A43" s="83" t="n"/>
      <c r="B43" s="84" t="inlineStr">
        <is>
          <t>66</t>
        </is>
      </c>
      <c r="C43" s="88" t="n">
        <v>170000</v>
      </c>
      <c r="D43" s="85" t="n"/>
    </row>
    <row r="44" ht="24" customHeight="1">
      <c r="A44" s="83" t="n"/>
      <c r="B44" s="87" t="inlineStr">
        <is>
          <t>66.03</t>
        </is>
      </c>
      <c r="C44" s="88" t="n">
        <v>170000</v>
      </c>
      <c r="D44" s="85" t="n"/>
    </row>
    <row r="45">
      <c r="A45" s="83" t="n"/>
      <c r="B45" s="84" t="inlineStr">
        <is>
          <t>68</t>
        </is>
      </c>
      <c r="C45" s="85" t="n"/>
      <c r="D45" s="88" t="n">
        <v>7692.46</v>
      </c>
    </row>
    <row r="46" ht="24" customHeight="1">
      <c r="A46" s="83" t="n"/>
      <c r="B46" s="87" t="inlineStr">
        <is>
          <t>68.90</t>
        </is>
      </c>
      <c r="C46" s="85" t="n"/>
      <c r="D46" s="88" t="n">
        <v>7692.46</v>
      </c>
    </row>
    <row r="47">
      <c r="A47" s="83" t="n"/>
      <c r="B47" s="84" t="inlineStr">
        <is>
          <t>69</t>
        </is>
      </c>
      <c r="C47" s="85" t="n"/>
      <c r="D47" s="86" t="n">
        <v>86.2</v>
      </c>
    </row>
    <row r="48" ht="24" customHeight="1">
      <c r="A48" s="83" t="n"/>
      <c r="B48" s="87" t="inlineStr">
        <is>
          <t>69.11</t>
        </is>
      </c>
      <c r="C48" s="85" t="n"/>
      <c r="D48" s="86" t="n">
        <v>86.2</v>
      </c>
    </row>
    <row r="49">
      <c r="A49" s="83" t="n"/>
      <c r="B49" s="84" t="inlineStr">
        <is>
          <t>70</t>
        </is>
      </c>
      <c r="C49" s="85" t="n"/>
      <c r="D49" s="88" t="n">
        <v>19088.64</v>
      </c>
    </row>
    <row r="50">
      <c r="A50" s="83" t="n"/>
      <c r="B50" s="84" t="inlineStr">
        <is>
          <t>76</t>
        </is>
      </c>
      <c r="C50" s="85" t="n"/>
      <c r="D50" s="88" t="n">
        <v>137887.61</v>
      </c>
    </row>
    <row r="51" ht="24" customHeight="1">
      <c r="A51" s="83" t="n"/>
      <c r="B51" s="87" t="inlineStr">
        <is>
          <t>76.09</t>
        </is>
      </c>
      <c r="C51" s="85" t="n"/>
      <c r="D51" s="88" t="n">
        <v>137887.61</v>
      </c>
    </row>
    <row r="52">
      <c r="A52" s="83" t="n"/>
      <c r="B52" s="84" t="inlineStr">
        <is>
          <t>91</t>
        </is>
      </c>
      <c r="C52" s="85" t="n"/>
      <c r="D52" s="88" t="n">
        <v>4330</v>
      </c>
    </row>
    <row r="53" ht="24" customHeight="1">
      <c r="A53" s="83" t="n"/>
      <c r="B53" s="87" t="inlineStr">
        <is>
          <t>91.02</t>
        </is>
      </c>
      <c r="C53" s="85" t="n"/>
      <c r="D53" s="88" t="n">
        <v>4330</v>
      </c>
    </row>
    <row r="54">
      <c r="A54" s="89" t="n"/>
      <c r="B54" s="80" t="inlineStr">
        <is>
          <t>Оборот</t>
        </is>
      </c>
      <c r="C54" s="81" t="n">
        <v>170000</v>
      </c>
      <c r="D54" s="81" t="n">
        <v>169084.91</v>
      </c>
    </row>
    <row r="55" ht="36" customHeight="1">
      <c r="A55" s="89" t="n"/>
      <c r="B55" s="80" t="inlineStr">
        <is>
          <t>Конечное сальдо</t>
        </is>
      </c>
      <c r="C55" s="81" t="n">
        <v>1409.43</v>
      </c>
      <c r="D55" s="82" t="n"/>
    </row>
    <row r="56" ht="48" customHeight="1">
      <c r="A56" s="80" t="inlineStr">
        <is>
          <t>Обороты за Июнь 26</t>
        </is>
      </c>
      <c r="B56" s="80" t="inlineStr">
        <is>
          <t>Начальное сальдо</t>
        </is>
      </c>
      <c r="C56" s="81" t="n">
        <v>1409.43</v>
      </c>
      <c r="D56" s="82" t="n"/>
    </row>
    <row r="57">
      <c r="A57" s="83" t="n"/>
      <c r="B57" s="84" t="inlineStr">
        <is>
          <t>60</t>
        </is>
      </c>
      <c r="C57" s="85" t="n"/>
      <c r="D57" s="88" t="n">
        <v>360919.4</v>
      </c>
    </row>
    <row r="58" ht="24" customHeight="1">
      <c r="A58" s="83" t="n"/>
      <c r="B58" s="87" t="inlineStr">
        <is>
          <t>60.02</t>
        </is>
      </c>
      <c r="C58" s="85" t="n"/>
      <c r="D58" s="88" t="n">
        <v>360919.4</v>
      </c>
    </row>
    <row r="59">
      <c r="A59" s="83" t="n"/>
      <c r="B59" s="84" t="inlineStr">
        <is>
          <t>66</t>
        </is>
      </c>
      <c r="C59" s="88" t="n">
        <v>737000</v>
      </c>
      <c r="D59" s="85" t="n"/>
    </row>
    <row r="60" ht="24" customHeight="1">
      <c r="A60" s="83" t="n"/>
      <c r="B60" s="87" t="inlineStr">
        <is>
          <t>66.03</t>
        </is>
      </c>
      <c r="C60" s="88" t="n">
        <v>737000</v>
      </c>
      <c r="D60" s="85" t="n"/>
    </row>
    <row r="61">
      <c r="A61" s="83" t="n"/>
      <c r="B61" s="84" t="inlineStr">
        <is>
          <t>68</t>
        </is>
      </c>
      <c r="C61" s="85" t="n"/>
      <c r="D61" s="88" t="n">
        <v>10369.9</v>
      </c>
    </row>
    <row r="62" ht="24" customHeight="1">
      <c r="A62" s="83" t="n"/>
      <c r="B62" s="87" t="inlineStr">
        <is>
          <t>68.90</t>
        </is>
      </c>
      <c r="C62" s="85" t="n"/>
      <c r="D62" s="88" t="n">
        <v>10369.9</v>
      </c>
    </row>
    <row r="63">
      <c r="A63" s="83" t="n"/>
      <c r="B63" s="84" t="inlineStr">
        <is>
          <t>69</t>
        </is>
      </c>
      <c r="C63" s="85" t="n"/>
      <c r="D63" s="86" t="n">
        <v>86.20999999999999</v>
      </c>
    </row>
    <row r="64" ht="24" customHeight="1">
      <c r="A64" s="83" t="n"/>
      <c r="B64" s="87" t="inlineStr">
        <is>
          <t>69.11</t>
        </is>
      </c>
      <c r="C64" s="85" t="n"/>
      <c r="D64" s="86" t="n">
        <v>86.20999999999999</v>
      </c>
    </row>
    <row r="65">
      <c r="A65" s="83" t="n"/>
      <c r="B65" s="84" t="inlineStr">
        <is>
          <t>70</t>
        </is>
      </c>
      <c r="C65" s="85" t="n"/>
      <c r="D65" s="88" t="n">
        <v>20221</v>
      </c>
    </row>
    <row r="66">
      <c r="A66" s="83" t="n"/>
      <c r="B66" s="84" t="inlineStr">
        <is>
          <t>76</t>
        </is>
      </c>
      <c r="C66" s="88" t="n">
        <v>39600</v>
      </c>
      <c r="D66" s="88" t="n">
        <v>241670.81</v>
      </c>
    </row>
    <row r="67" ht="24" customHeight="1">
      <c r="A67" s="83" t="n"/>
      <c r="B67" s="87" t="inlineStr">
        <is>
          <t>76.09</t>
        </is>
      </c>
      <c r="C67" s="88" t="n">
        <v>39600</v>
      </c>
      <c r="D67" s="88" t="n">
        <v>241670.81</v>
      </c>
    </row>
    <row r="68">
      <c r="A68" s="83" t="n"/>
      <c r="B68" s="84" t="inlineStr">
        <is>
          <t>91</t>
        </is>
      </c>
      <c r="C68" s="85" t="n"/>
      <c r="D68" s="88" t="n">
        <v>9920</v>
      </c>
    </row>
    <row r="69" ht="24" customHeight="1">
      <c r="A69" s="83" t="n"/>
      <c r="B69" s="87" t="inlineStr">
        <is>
          <t>91.02</t>
        </is>
      </c>
      <c r="C69" s="85" t="n"/>
      <c r="D69" s="88" t="n">
        <v>9920</v>
      </c>
    </row>
    <row r="70">
      <c r="A70" s="89" t="n"/>
      <c r="B70" s="80" t="inlineStr">
        <is>
          <t>Оборот</t>
        </is>
      </c>
      <c r="C70" s="81" t="n">
        <v>776600</v>
      </c>
      <c r="D70" s="81" t="n">
        <v>643187.3199999999</v>
      </c>
    </row>
    <row r="71" ht="36" customHeight="1">
      <c r="A71" s="89" t="n"/>
      <c r="B71" s="80" t="inlineStr">
        <is>
          <t>Конечное сальдо</t>
        </is>
      </c>
      <c r="C71" s="81" t="n">
        <v>134822.11</v>
      </c>
      <c r="D71" s="82" t="n"/>
    </row>
    <row r="72" ht="48" customHeight="1">
      <c r="A72" s="80" t="inlineStr">
        <is>
          <t>Обороты за Июль 26</t>
        </is>
      </c>
      <c r="B72" s="80" t="inlineStr">
        <is>
          <t>Начальное сальдо</t>
        </is>
      </c>
      <c r="C72" s="81" t="n">
        <v>134822.11</v>
      </c>
      <c r="D72" s="82" t="n"/>
    </row>
    <row r="73">
      <c r="A73" s="83" t="n"/>
      <c r="B73" s="84" t="inlineStr">
        <is>
          <t>60</t>
        </is>
      </c>
      <c r="C73" s="85" t="n"/>
      <c r="D73" s="88" t="n">
        <v>164852</v>
      </c>
    </row>
    <row r="74" ht="24" customHeight="1">
      <c r="A74" s="83" t="n"/>
      <c r="B74" s="87" t="inlineStr">
        <is>
          <t>60.02</t>
        </is>
      </c>
      <c r="C74" s="85" t="n"/>
      <c r="D74" s="88" t="n">
        <v>164852</v>
      </c>
    </row>
    <row r="75">
      <c r="A75" s="83" t="n"/>
      <c r="B75" s="84" t="inlineStr">
        <is>
          <t>66</t>
        </is>
      </c>
      <c r="C75" s="88" t="n">
        <v>650000</v>
      </c>
      <c r="D75" s="85" t="n"/>
    </row>
    <row r="76" ht="24" customHeight="1">
      <c r="A76" s="83" t="n"/>
      <c r="B76" s="87" t="inlineStr">
        <is>
          <t>66.03</t>
        </is>
      </c>
      <c r="C76" s="88" t="n">
        <v>650000</v>
      </c>
      <c r="D76" s="85" t="n"/>
    </row>
    <row r="77">
      <c r="A77" s="83" t="n"/>
      <c r="B77" s="84" t="inlineStr">
        <is>
          <t>68</t>
        </is>
      </c>
      <c r="C77" s="85" t="n"/>
      <c r="D77" s="88" t="n">
        <v>22654.47</v>
      </c>
    </row>
    <row r="78" ht="24" customHeight="1">
      <c r="A78" s="83" t="n"/>
      <c r="B78" s="87" t="inlineStr">
        <is>
          <t>68.90</t>
        </is>
      </c>
      <c r="C78" s="85" t="n"/>
      <c r="D78" s="88" t="n">
        <v>22654.47</v>
      </c>
    </row>
    <row r="79">
      <c r="A79" s="83" t="n"/>
      <c r="B79" s="84" t="inlineStr">
        <is>
          <t>69</t>
        </is>
      </c>
      <c r="C79" s="85" t="n"/>
      <c r="D79" s="86" t="n">
        <v>193.35</v>
      </c>
    </row>
    <row r="80" ht="24" customHeight="1">
      <c r="A80" s="83" t="n"/>
      <c r="B80" s="87" t="inlineStr">
        <is>
          <t>69.11</t>
        </is>
      </c>
      <c r="C80" s="85" t="n"/>
      <c r="D80" s="86" t="n">
        <v>193.35</v>
      </c>
    </row>
    <row r="81">
      <c r="A81" s="83" t="n"/>
      <c r="B81" s="84" t="inlineStr">
        <is>
          <t>70</t>
        </is>
      </c>
      <c r="C81" s="85" t="n"/>
      <c r="D81" s="88" t="n">
        <v>41472.57</v>
      </c>
    </row>
    <row r="82">
      <c r="A82" s="83" t="n"/>
      <c r="B82" s="84" t="inlineStr">
        <is>
          <t>76</t>
        </is>
      </c>
      <c r="C82" s="85" t="n"/>
      <c r="D82" s="88" t="n">
        <v>492620.85</v>
      </c>
    </row>
    <row r="83" ht="24" customHeight="1">
      <c r="A83" s="83" t="n"/>
      <c r="B83" s="87" t="inlineStr">
        <is>
          <t>76.05</t>
        </is>
      </c>
      <c r="C83" s="85" t="n"/>
      <c r="D83" s="88" t="n">
        <v>80000</v>
      </c>
    </row>
    <row r="84" ht="24" customHeight="1">
      <c r="A84" s="83" t="n"/>
      <c r="B84" s="87" t="inlineStr">
        <is>
          <t>76.09</t>
        </is>
      </c>
      <c r="C84" s="85" t="n"/>
      <c r="D84" s="88" t="n">
        <v>412620.85</v>
      </c>
    </row>
    <row r="85">
      <c r="A85" s="83" t="n"/>
      <c r="B85" s="84" t="inlineStr">
        <is>
          <t>91</t>
        </is>
      </c>
      <c r="C85" s="85" t="n"/>
      <c r="D85" s="88" t="n">
        <v>6330</v>
      </c>
    </row>
    <row r="86" ht="24" customHeight="1">
      <c r="A86" s="83" t="n"/>
      <c r="B86" s="87" t="inlineStr">
        <is>
          <t>91.02</t>
        </is>
      </c>
      <c r="C86" s="85" t="n"/>
      <c r="D86" s="88" t="n">
        <v>6330</v>
      </c>
    </row>
    <row r="87">
      <c r="A87" s="89" t="n"/>
      <c r="B87" s="80" t="inlineStr">
        <is>
          <t>Оборот</t>
        </is>
      </c>
      <c r="C87" s="81" t="n">
        <v>650000</v>
      </c>
      <c r="D87" s="81" t="n">
        <v>728123.24</v>
      </c>
    </row>
    <row r="88" ht="36" customHeight="1">
      <c r="A88" s="89" t="n"/>
      <c r="B88" s="80" t="inlineStr">
        <is>
          <t>Конечное сальдо</t>
        </is>
      </c>
      <c r="C88" s="81" t="n">
        <v>56698.87</v>
      </c>
      <c r="D88" s="82" t="n"/>
    </row>
    <row r="89" ht="48" customHeight="1">
      <c r="A89" s="80" t="inlineStr">
        <is>
          <t>Обороты за Август 26</t>
        </is>
      </c>
      <c r="B89" s="80" t="inlineStr">
        <is>
          <t>Начальное сальдо</t>
        </is>
      </c>
      <c r="C89" s="81" t="n">
        <v>56698.87</v>
      </c>
      <c r="D89" s="82" t="n"/>
    </row>
    <row r="90">
      <c r="A90" s="83" t="n"/>
      <c r="B90" s="84" t="inlineStr">
        <is>
          <t>55</t>
        </is>
      </c>
      <c r="C90" s="88" t="n">
        <v>5647605.44</v>
      </c>
      <c r="D90" s="88" t="n">
        <v>5647605.44</v>
      </c>
    </row>
    <row r="91" ht="24" customHeight="1">
      <c r="A91" s="83" t="n"/>
      <c r="B91" s="87" t="inlineStr">
        <is>
          <t>55.03</t>
        </is>
      </c>
      <c r="C91" s="88" t="n">
        <v>5647605.44</v>
      </c>
      <c r="D91" s="88" t="n">
        <v>5647605.44</v>
      </c>
    </row>
    <row r="92">
      <c r="A92" s="83" t="n"/>
      <c r="B92" s="84" t="inlineStr">
        <is>
          <t>60</t>
        </is>
      </c>
      <c r="C92" s="85" t="n"/>
      <c r="D92" s="88" t="n">
        <v>1077671.52</v>
      </c>
    </row>
    <row r="93" ht="24" customHeight="1">
      <c r="A93" s="83" t="n"/>
      <c r="B93" s="87" t="inlineStr">
        <is>
          <t>60.01</t>
        </is>
      </c>
      <c r="C93" s="85" t="n"/>
      <c r="D93" s="88" t="n">
        <v>152644.72</v>
      </c>
    </row>
    <row r="94" ht="24" customHeight="1">
      <c r="A94" s="83" t="n"/>
      <c r="B94" s="87" t="inlineStr">
        <is>
          <t>60.02</t>
        </is>
      </c>
      <c r="C94" s="85" t="n"/>
      <c r="D94" s="88" t="n">
        <v>925026.8</v>
      </c>
    </row>
    <row r="95">
      <c r="A95" s="83" t="n"/>
      <c r="B95" s="84" t="inlineStr">
        <is>
          <t>62</t>
        </is>
      </c>
      <c r="C95" s="88" t="n">
        <v>1143668.31</v>
      </c>
      <c r="D95" s="85" t="n"/>
    </row>
    <row r="96" ht="24" customHeight="1">
      <c r="A96" s="83" t="n"/>
      <c r="B96" s="87" t="inlineStr">
        <is>
          <t>62.01</t>
        </is>
      </c>
      <c r="C96" s="88" t="n">
        <v>1143668.31</v>
      </c>
      <c r="D96" s="85" t="n"/>
    </row>
    <row r="97">
      <c r="A97" s="83" t="n"/>
      <c r="B97" s="84" t="inlineStr">
        <is>
          <t>66</t>
        </is>
      </c>
      <c r="C97" s="88" t="n">
        <v>1230000</v>
      </c>
      <c r="D97" s="85" t="n"/>
    </row>
    <row r="98" ht="24" customHeight="1">
      <c r="A98" s="83" t="n"/>
      <c r="B98" s="87" t="inlineStr">
        <is>
          <t>66.03</t>
        </is>
      </c>
      <c r="C98" s="88" t="n">
        <v>1230000</v>
      </c>
      <c r="D98" s="85" t="n"/>
    </row>
    <row r="99">
      <c r="A99" s="83" t="n"/>
      <c r="B99" s="84" t="inlineStr">
        <is>
          <t>68</t>
        </is>
      </c>
      <c r="C99" s="85" t="n"/>
      <c r="D99" s="88" t="n">
        <v>247199.9</v>
      </c>
    </row>
    <row r="100" ht="24" customHeight="1">
      <c r="A100" s="83" t="n"/>
      <c r="B100" s="87" t="inlineStr">
        <is>
          <t>68.90</t>
        </is>
      </c>
      <c r="C100" s="85" t="n"/>
      <c r="D100" s="88" t="n">
        <v>247199.9</v>
      </c>
    </row>
    <row r="101">
      <c r="A101" s="83" t="n"/>
      <c r="B101" s="84" t="inlineStr">
        <is>
          <t>69</t>
        </is>
      </c>
      <c r="C101" s="85" t="n"/>
      <c r="D101" s="86" t="n">
        <v>236.21</v>
      </c>
    </row>
    <row r="102" ht="24" customHeight="1">
      <c r="A102" s="83" t="n"/>
      <c r="B102" s="87" t="inlineStr">
        <is>
          <t>69.11</t>
        </is>
      </c>
      <c r="C102" s="85" t="n"/>
      <c r="D102" s="86" t="n">
        <v>236.21</v>
      </c>
    </row>
    <row r="103">
      <c r="A103" s="83" t="n"/>
      <c r="B103" s="84" t="inlineStr">
        <is>
          <t>70</t>
        </is>
      </c>
      <c r="C103" s="85" t="n"/>
      <c r="D103" s="88" t="n">
        <v>53693.23</v>
      </c>
    </row>
    <row r="104">
      <c r="A104" s="83" t="n"/>
      <c r="B104" s="84" t="inlineStr">
        <is>
          <t>76</t>
        </is>
      </c>
      <c r="C104" s="85" t="n"/>
      <c r="D104" s="88" t="n">
        <v>1022084.03</v>
      </c>
    </row>
    <row r="105" ht="24" customHeight="1">
      <c r="A105" s="83" t="n"/>
      <c r="B105" s="87" t="inlineStr">
        <is>
          <t>76.09</t>
        </is>
      </c>
      <c r="C105" s="85" t="n"/>
      <c r="D105" s="88" t="n">
        <v>562802.03</v>
      </c>
    </row>
    <row r="106" ht="24" customHeight="1">
      <c r="A106" s="83" t="n"/>
      <c r="B106" s="87" t="inlineStr">
        <is>
          <t>76.10</t>
        </is>
      </c>
      <c r="C106" s="85" t="n"/>
      <c r="D106" s="88" t="n">
        <v>459282</v>
      </c>
    </row>
    <row r="107">
      <c r="A107" s="83" t="n"/>
      <c r="B107" s="84" t="inlineStr">
        <is>
          <t>91</t>
        </is>
      </c>
      <c r="C107" s="88" t="n">
        <v>1867.44</v>
      </c>
      <c r="D107" s="88" t="n">
        <v>6459</v>
      </c>
    </row>
    <row r="108" ht="24" customHeight="1">
      <c r="A108" s="83" t="n"/>
      <c r="B108" s="87" t="inlineStr">
        <is>
          <t>91.01</t>
        </is>
      </c>
      <c r="C108" s="88" t="n">
        <v>1867.44</v>
      </c>
      <c r="D108" s="85" t="n"/>
    </row>
    <row r="109" ht="24" customHeight="1">
      <c r="A109" s="83" t="n"/>
      <c r="B109" s="87" t="inlineStr">
        <is>
          <t>91.02</t>
        </is>
      </c>
      <c r="C109" s="85" t="n"/>
      <c r="D109" s="88" t="n">
        <v>6459</v>
      </c>
    </row>
    <row r="110">
      <c r="A110" s="89" t="n"/>
      <c r="B110" s="80" t="inlineStr">
        <is>
          <t>Оборот</t>
        </is>
      </c>
      <c r="C110" s="81" t="n">
        <v>8023141.19</v>
      </c>
      <c r="D110" s="81" t="n">
        <v>8054949.33</v>
      </c>
    </row>
    <row r="111" ht="36" customHeight="1">
      <c r="A111" s="89" t="n"/>
      <c r="B111" s="80" t="inlineStr">
        <is>
          <t>Конечное сальдо</t>
        </is>
      </c>
      <c r="C111" s="81" t="n">
        <v>24890.73</v>
      </c>
      <c r="D111" s="82" t="n"/>
    </row>
    <row r="112" ht="48" customHeight="1">
      <c r="A112" s="80" t="inlineStr">
        <is>
          <t>Обороты за Сентябрь 26</t>
        </is>
      </c>
      <c r="B112" s="80" t="inlineStr">
        <is>
          <t>Начальное сальдо</t>
        </is>
      </c>
      <c r="C112" s="81" t="n">
        <v>24890.73</v>
      </c>
      <c r="D112" s="82" t="n"/>
    </row>
    <row r="113">
      <c r="A113" s="83" t="n"/>
      <c r="B113" s="84" t="inlineStr">
        <is>
          <t>51</t>
        </is>
      </c>
      <c r="C113" s="88" t="n">
        <v>4500000</v>
      </c>
      <c r="D113" s="88" t="n">
        <v>4500000</v>
      </c>
    </row>
    <row r="114">
      <c r="A114" s="83" t="n"/>
      <c r="B114" s="84" t="inlineStr">
        <is>
          <t>55</t>
        </is>
      </c>
      <c r="C114" s="88" t="n">
        <v>24477949.81</v>
      </c>
      <c r="D114" s="88" t="n">
        <v>28977949.81</v>
      </c>
    </row>
    <row r="115" ht="24" customHeight="1">
      <c r="A115" s="83" t="n"/>
      <c r="B115" s="87" t="inlineStr">
        <is>
          <t>55.03</t>
        </is>
      </c>
      <c r="C115" s="88" t="n">
        <v>24477949.81</v>
      </c>
      <c r="D115" s="88" t="n">
        <v>28977949.81</v>
      </c>
    </row>
    <row r="116">
      <c r="A116" s="83" t="n"/>
      <c r="B116" s="84" t="inlineStr">
        <is>
          <t>60</t>
        </is>
      </c>
      <c r="C116" s="86" t="n">
        <v>512</v>
      </c>
      <c r="D116" s="88" t="n">
        <v>691851.83</v>
      </c>
    </row>
    <row r="117" ht="24" customHeight="1">
      <c r="A117" s="83" t="n"/>
      <c r="B117" s="87" t="inlineStr">
        <is>
          <t>60.01</t>
        </is>
      </c>
      <c r="C117" s="85" t="n"/>
      <c r="D117" s="88" t="n">
        <v>178724.74</v>
      </c>
    </row>
    <row r="118" ht="24" customHeight="1">
      <c r="A118" s="83" t="n"/>
      <c r="B118" s="87" t="inlineStr">
        <is>
          <t>60.02</t>
        </is>
      </c>
      <c r="C118" s="86" t="n">
        <v>512</v>
      </c>
      <c r="D118" s="88" t="n">
        <v>513127.09</v>
      </c>
    </row>
    <row r="119">
      <c r="A119" s="83" t="n"/>
      <c r="B119" s="84" t="inlineStr">
        <is>
          <t>62</t>
        </is>
      </c>
      <c r="C119" s="88" t="n">
        <v>13487818.24</v>
      </c>
      <c r="D119" s="85" t="n"/>
    </row>
    <row r="120" ht="24" customHeight="1">
      <c r="A120" s="83" t="n"/>
      <c r="B120" s="87" t="inlineStr">
        <is>
          <t>62.01</t>
        </is>
      </c>
      <c r="C120" s="88" t="n">
        <v>13487818.24</v>
      </c>
      <c r="D120" s="85" t="n"/>
    </row>
    <row r="121">
      <c r="A121" s="83" t="n"/>
      <c r="B121" s="84" t="inlineStr">
        <is>
          <t>66</t>
        </is>
      </c>
      <c r="C121" s="88" t="n">
        <v>10000</v>
      </c>
      <c r="D121" s="85" t="n"/>
    </row>
    <row r="122" ht="24" customHeight="1">
      <c r="A122" s="83" t="n"/>
      <c r="B122" s="87" t="inlineStr">
        <is>
          <t>66.03</t>
        </is>
      </c>
      <c r="C122" s="88" t="n">
        <v>10000</v>
      </c>
      <c r="D122" s="85" t="n"/>
    </row>
    <row r="123">
      <c r="A123" s="83" t="n"/>
      <c r="B123" s="84" t="inlineStr">
        <is>
          <t>68</t>
        </is>
      </c>
      <c r="C123" s="85" t="n"/>
      <c r="D123" s="88" t="n">
        <v>252568.6</v>
      </c>
    </row>
    <row r="124" ht="24" customHeight="1">
      <c r="A124" s="83" t="n"/>
      <c r="B124" s="87" t="inlineStr">
        <is>
          <t>68.90</t>
        </is>
      </c>
      <c r="C124" s="85" t="n"/>
      <c r="D124" s="88" t="n">
        <v>252568.6</v>
      </c>
    </row>
    <row r="125">
      <c r="A125" s="83" t="n"/>
      <c r="B125" s="84" t="inlineStr">
        <is>
          <t>69</t>
        </is>
      </c>
      <c r="C125" s="85" t="n"/>
      <c r="D125" s="86" t="n">
        <v>400</v>
      </c>
    </row>
    <row r="126" ht="24" customHeight="1">
      <c r="A126" s="83" t="n"/>
      <c r="B126" s="87" t="inlineStr">
        <is>
          <t>69.11</t>
        </is>
      </c>
      <c r="C126" s="85" t="n"/>
      <c r="D126" s="86" t="n">
        <v>400</v>
      </c>
    </row>
    <row r="127">
      <c r="A127" s="83" t="n"/>
      <c r="B127" s="84" t="inlineStr">
        <is>
          <t>70</t>
        </is>
      </c>
      <c r="C127" s="85" t="n"/>
      <c r="D127" s="88" t="n">
        <v>74519.77</v>
      </c>
    </row>
    <row r="128">
      <c r="A128" s="83" t="n"/>
      <c r="B128" s="84" t="inlineStr">
        <is>
          <t>71</t>
        </is>
      </c>
      <c r="C128" s="85" t="n"/>
      <c r="D128" s="88" t="n">
        <v>1366</v>
      </c>
    </row>
    <row r="129" ht="24" customHeight="1">
      <c r="A129" s="83" t="n"/>
      <c r="B129" s="87" t="inlineStr">
        <is>
          <t>71.01</t>
        </is>
      </c>
      <c r="C129" s="85" t="n"/>
      <c r="D129" s="88" t="n">
        <v>1366</v>
      </c>
    </row>
    <row r="130">
      <c r="A130" s="83" t="n"/>
      <c r="B130" s="84" t="inlineStr">
        <is>
          <t>76</t>
        </is>
      </c>
      <c r="C130" s="88" t="n">
        <v>160471.55</v>
      </c>
      <c r="D130" s="88" t="n">
        <v>834591.9300000001</v>
      </c>
    </row>
    <row r="131" ht="24" customHeight="1">
      <c r="A131" s="83" t="n"/>
      <c r="B131" s="87" t="inlineStr">
        <is>
          <t>76.09</t>
        </is>
      </c>
      <c r="C131" s="88" t="n">
        <v>160471.55</v>
      </c>
      <c r="D131" s="88" t="n">
        <v>324325.93</v>
      </c>
    </row>
    <row r="132" ht="24" customHeight="1">
      <c r="A132" s="83" t="n"/>
      <c r="B132" s="87" t="inlineStr">
        <is>
          <t>76.10</t>
        </is>
      </c>
      <c r="C132" s="85" t="n"/>
      <c r="D132" s="88" t="n">
        <v>510266</v>
      </c>
    </row>
    <row r="133">
      <c r="A133" s="83" t="n"/>
      <c r="B133" s="84" t="inlineStr">
        <is>
          <t>91</t>
        </is>
      </c>
      <c r="C133" s="88" t="n">
        <v>8937.91</v>
      </c>
      <c r="D133" s="88" t="n">
        <v>11960</v>
      </c>
    </row>
    <row r="134" ht="24" customHeight="1">
      <c r="A134" s="83" t="n"/>
      <c r="B134" s="87" t="inlineStr">
        <is>
          <t>91.01</t>
        </is>
      </c>
      <c r="C134" s="88" t="n">
        <v>8937.91</v>
      </c>
      <c r="D134" s="85" t="n"/>
    </row>
    <row r="135" ht="24" customHeight="1">
      <c r="A135" s="83" t="n"/>
      <c r="B135" s="87" t="inlineStr">
        <is>
          <t>91.02</t>
        </is>
      </c>
      <c r="C135" s="85" t="n"/>
      <c r="D135" s="88" t="n">
        <v>11960</v>
      </c>
    </row>
    <row r="136">
      <c r="A136" s="89" t="n"/>
      <c r="B136" s="80" t="inlineStr">
        <is>
          <t>Оборот</t>
        </is>
      </c>
      <c r="C136" s="81" t="n">
        <v>42645689.51</v>
      </c>
      <c r="D136" s="81" t="n">
        <v>35345207.94</v>
      </c>
    </row>
    <row r="137" ht="36" customHeight="1">
      <c r="A137" s="89" t="n"/>
      <c r="B137" s="80" t="inlineStr">
        <is>
          <t>Конечное сальдо</t>
        </is>
      </c>
      <c r="C137" s="81" t="n">
        <v>7325372.3</v>
      </c>
      <c r="D137" s="82" t="n"/>
    </row>
    <row r="138">
      <c r="A138" s="91" t="n"/>
      <c r="B138" s="92" t="inlineStr">
        <is>
          <t>Оборот</t>
        </is>
      </c>
      <c r="C138" s="93" t="n">
        <v>52455220.7</v>
      </c>
      <c r="D138" s="93" t="n">
        <v>46859712.64</v>
      </c>
    </row>
    <row r="139" ht="38.25" customHeight="1">
      <c r="A139" s="91" t="n"/>
      <c r="B139" s="92" t="inlineStr">
        <is>
          <t>Конечное сальдо</t>
        </is>
      </c>
      <c r="C139" s="93" t="n">
        <v>7325372.3</v>
      </c>
      <c r="D139" s="94" t="n"/>
    </row>
    <row r="140">
      <c r="A140" s="31" t="n"/>
      <c r="B140" s="31" t="n"/>
      <c r="C140" s="31" t="n"/>
      <c r="D140" s="31" t="n"/>
    </row>
    <row r="141">
      <c r="A141" s="31" t="n"/>
      <c r="B141" s="31" t="n"/>
      <c r="C141" s="31" t="n"/>
      <c r="D141" s="31" t="n"/>
    </row>
    <row r="142">
      <c r="A142" s="31" t="n"/>
      <c r="B142" s="31" t="n"/>
      <c r="C142" s="31" t="n"/>
      <c r="D142" s="31" t="n"/>
    </row>
    <row r="143">
      <c r="A143" s="31" t="n"/>
      <c r="B143" s="31" t="n"/>
      <c r="C143" s="31" t="n"/>
      <c r="D143" s="31" t="n"/>
    </row>
    <row r="144">
      <c r="A144" s="31" t="n"/>
      <c r="B144" s="31" t="n"/>
      <c r="C144" s="31" t="n"/>
      <c r="D144" s="31" t="n"/>
    </row>
    <row r="145">
      <c r="A145" s="31" t="n"/>
      <c r="B145" s="31" t="n"/>
      <c r="C145" s="31" t="n"/>
      <c r="D145" s="31" t="n"/>
    </row>
    <row r="146">
      <c r="A146" s="31" t="n"/>
      <c r="B146" s="31" t="n"/>
      <c r="C146" s="31" t="n"/>
      <c r="D146" s="31" t="n"/>
    </row>
    <row r="147">
      <c r="A147" s="31" t="n"/>
      <c r="B147" s="31" t="n"/>
      <c r="C147" s="31" t="n"/>
      <c r="D147" s="31" t="n"/>
    </row>
    <row r="148">
      <c r="A148" s="31" t="n"/>
      <c r="B148" s="31" t="n"/>
      <c r="C148" s="31" t="n"/>
      <c r="D148" s="31" t="n"/>
    </row>
    <row r="149">
      <c r="A149" s="31" t="n"/>
      <c r="B149" s="31" t="n"/>
      <c r="C149" s="31" t="n"/>
      <c r="D149" s="31" t="n"/>
    </row>
    <row r="150">
      <c r="A150" s="31" t="n"/>
      <c r="B150" s="31" t="n"/>
      <c r="C150" s="31" t="n"/>
      <c r="D150" s="31" t="n"/>
    </row>
    <row r="151">
      <c r="A151" s="31" t="n"/>
      <c r="B151" s="31" t="n"/>
      <c r="C151" s="31" t="n"/>
      <c r="D151" s="31" t="n"/>
    </row>
    <row r="152">
      <c r="A152" s="31" t="n"/>
      <c r="B152" s="31" t="n"/>
      <c r="C152" s="31" t="n"/>
      <c r="D152" s="31" t="n"/>
    </row>
    <row r="153">
      <c r="A153" s="31" t="n"/>
      <c r="B153" s="31" t="n"/>
      <c r="C153" s="31" t="n"/>
      <c r="D153" s="31" t="n"/>
    </row>
    <row r="154">
      <c r="A154" s="31" t="n"/>
      <c r="B154" s="31" t="n"/>
      <c r="C154" s="31" t="n"/>
      <c r="D154" s="31" t="n"/>
    </row>
    <row r="155">
      <c r="A155" s="31" t="n"/>
      <c r="B155" s="31" t="n"/>
      <c r="C155" s="31" t="n"/>
      <c r="D155" s="31" t="n"/>
    </row>
    <row r="156">
      <c r="A156" s="31" t="n"/>
      <c r="B156" s="31" t="n"/>
      <c r="C156" s="31" t="n"/>
      <c r="D156" s="31" t="n"/>
    </row>
    <row r="157">
      <c r="A157" s="31" t="n"/>
      <c r="B157" s="31" t="n"/>
      <c r="C157" s="31" t="n"/>
      <c r="D157" s="31" t="n"/>
    </row>
    <row r="158">
      <c r="A158" s="31" t="n"/>
      <c r="B158" s="31" t="n"/>
      <c r="C158" s="31" t="n"/>
      <c r="D158" s="31" t="n"/>
    </row>
    <row r="159">
      <c r="A159" s="31" t="n"/>
      <c r="B159" s="31" t="n"/>
      <c r="C159" s="31" t="n"/>
      <c r="D159" s="31" t="n"/>
    </row>
    <row r="160">
      <c r="A160" s="31" t="n"/>
      <c r="B160" s="31" t="n"/>
      <c r="C160" s="31" t="n"/>
      <c r="D160" s="31" t="n"/>
    </row>
    <row r="161">
      <c r="A161" s="31" t="n"/>
      <c r="B161" s="31" t="n"/>
      <c r="C161" s="31" t="n"/>
      <c r="D161" s="31" t="n"/>
    </row>
    <row r="162">
      <c r="A162" s="31" t="n"/>
      <c r="B162" s="31" t="n"/>
      <c r="C162" s="31" t="n"/>
      <c r="D162" s="31" t="n"/>
    </row>
    <row r="163">
      <c r="A163" s="31" t="n"/>
      <c r="B163" s="31" t="n"/>
      <c r="C163" s="31" t="n"/>
      <c r="D163" s="31" t="n"/>
    </row>
    <row r="164">
      <c r="A164" s="31" t="n"/>
      <c r="B164" s="31" t="n"/>
      <c r="C164" s="31" t="n"/>
      <c r="D164" s="31" t="n"/>
    </row>
    <row r="165">
      <c r="A165" s="31" t="n"/>
      <c r="B165" s="31" t="n"/>
      <c r="C165" s="31" t="n"/>
      <c r="D165" s="31" t="n"/>
    </row>
    <row r="166">
      <c r="A166" s="31" t="n"/>
      <c r="B166" s="31" t="n"/>
      <c r="C166" s="31" t="n"/>
      <c r="D166" s="31" t="n"/>
    </row>
    <row r="167">
      <c r="A167" s="31" t="n"/>
      <c r="B167" s="31" t="n"/>
      <c r="C167" s="31" t="n"/>
      <c r="D167" s="31" t="n"/>
    </row>
    <row r="168">
      <c r="A168" s="31" t="n"/>
      <c r="B168" s="31" t="n"/>
      <c r="C168" s="31" t="n"/>
      <c r="D168" s="31" t="n"/>
    </row>
    <row r="169">
      <c r="A169" s="31" t="n"/>
      <c r="B169" s="31" t="n"/>
      <c r="C169" s="31" t="n"/>
      <c r="D169" s="31" t="n"/>
    </row>
    <row r="170">
      <c r="A170" s="31" t="n"/>
      <c r="B170" s="31" t="n"/>
      <c r="C170" s="31" t="n"/>
      <c r="D170" s="31" t="n"/>
    </row>
    <row r="171">
      <c r="A171" s="31" t="n"/>
      <c r="B171" s="31" t="n"/>
      <c r="C171" s="31" t="n"/>
      <c r="D171" s="31" t="n"/>
    </row>
    <row r="172">
      <c r="A172" s="31" t="n"/>
      <c r="B172" s="31" t="n"/>
      <c r="C172" s="31" t="n"/>
      <c r="D172" s="31" t="n"/>
    </row>
    <row r="173">
      <c r="A173" s="31" t="n"/>
      <c r="B173" s="31" t="n"/>
      <c r="C173" s="31" t="n"/>
      <c r="D173" s="31" t="n"/>
    </row>
    <row r="174">
      <c r="A174" s="31" t="n"/>
      <c r="B174" s="31" t="n"/>
      <c r="C174" s="31" t="n"/>
      <c r="D174" s="31" t="n"/>
    </row>
    <row r="175">
      <c r="A175" s="31" t="n"/>
      <c r="B175" s="31" t="n"/>
      <c r="C175" s="31" t="n"/>
      <c r="D175" s="31" t="n"/>
    </row>
    <row r="176">
      <c r="A176" s="31" t="n"/>
      <c r="B176" s="31" t="n"/>
      <c r="C176" s="31" t="n"/>
      <c r="D176" s="31" t="n"/>
    </row>
    <row r="177">
      <c r="A177" s="31" t="n"/>
      <c r="B177" s="31" t="n"/>
      <c r="C177" s="31" t="n"/>
      <c r="D177" s="31" t="n"/>
    </row>
    <row r="178">
      <c r="A178" s="31" t="n"/>
      <c r="B178" s="31" t="n"/>
      <c r="C178" s="31" t="n"/>
      <c r="D178" s="31" t="n"/>
    </row>
    <row r="179">
      <c r="A179" s="31" t="n"/>
      <c r="B179" s="31" t="n"/>
      <c r="C179" s="31" t="n"/>
      <c r="D179" s="31" t="n"/>
    </row>
    <row r="180">
      <c r="A180" s="31" t="n"/>
      <c r="B180" s="31" t="n"/>
      <c r="C180" s="31" t="n"/>
      <c r="D180" s="31" t="n"/>
    </row>
    <row r="181">
      <c r="A181" s="31" t="n"/>
      <c r="B181" s="31" t="n"/>
      <c r="C181" s="31" t="n"/>
      <c r="D181" s="31" t="n"/>
    </row>
    <row r="182">
      <c r="A182" s="31" t="n"/>
      <c r="B182" s="31" t="n"/>
      <c r="C182" s="31" t="n"/>
      <c r="D182" s="31" t="n"/>
    </row>
    <row r="183">
      <c r="A183" s="31" t="n"/>
      <c r="B183" s="31" t="n"/>
      <c r="C183" s="31" t="n"/>
      <c r="D183" s="31" t="n"/>
    </row>
    <row r="184">
      <c r="A184" s="31" t="n"/>
      <c r="B184" s="31" t="n"/>
      <c r="C184" s="31" t="n"/>
      <c r="D184" s="31" t="n"/>
    </row>
    <row r="185">
      <c r="A185" s="31" t="n"/>
      <c r="B185" s="31" t="n"/>
      <c r="C185" s="31" t="n"/>
      <c r="D185" s="31" t="n"/>
    </row>
    <row r="186">
      <c r="A186" s="31" t="n"/>
      <c r="B186" s="31" t="n"/>
      <c r="C186" s="31" t="n"/>
      <c r="D186" s="31" t="n"/>
    </row>
    <row r="187">
      <c r="A187" s="31" t="n"/>
      <c r="B187" s="31" t="n"/>
      <c r="C187" s="31" t="n"/>
      <c r="D187" s="31" t="n"/>
    </row>
    <row r="188">
      <c r="A188" s="31" t="n"/>
      <c r="B188" s="31" t="n"/>
      <c r="C188" s="31" t="n"/>
      <c r="D188" s="31" t="n"/>
    </row>
    <row r="189">
      <c r="A189" s="31" t="n"/>
      <c r="B189" s="31" t="n"/>
      <c r="C189" s="31" t="n"/>
      <c r="D189" s="31" t="n"/>
    </row>
    <row r="190">
      <c r="A190" s="31" t="n"/>
      <c r="B190" s="31" t="n"/>
      <c r="C190" s="31" t="n"/>
      <c r="D190" s="31" t="n"/>
    </row>
    <row r="191">
      <c r="A191" s="31" t="n"/>
      <c r="B191" s="31" t="n"/>
      <c r="C191" s="31" t="n"/>
      <c r="D191" s="31" t="n"/>
    </row>
    <row r="192">
      <c r="A192" s="31" t="n"/>
      <c r="B192" s="31" t="n"/>
      <c r="C192" s="31" t="n"/>
      <c r="D192" s="31" t="n"/>
    </row>
  </sheetData>
  <mergeCells count="5">
    <mergeCell ref="A1:D1"/>
    <mergeCell ref="A4:D4"/>
    <mergeCell ref="C6:C7"/>
    <mergeCell ref="D6:D7"/>
    <mergeCell ref="B6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:D356"/>
    </sheetView>
  </sheetViews>
  <sheetFormatPr baseColWidth="8" defaultRowHeight="15"/>
  <cols>
    <col width="18.42578125" customWidth="1" min="2" max="2"/>
    <col width="26" customWidth="1" min="3" max="3"/>
    <col width="27.7109375" customWidth="1" min="4" max="4"/>
  </cols>
  <sheetData>
    <row r="1" ht="15" customHeight="1">
      <c r="A1" s="41" t="inlineStr">
        <is>
          <t xml:space="preserve">ИП Рожков Никита Олегович                              </t>
        </is>
      </c>
    </row>
    <row r="2" ht="15.75" customHeight="1">
      <c r="A2" s="43" t="inlineStr">
        <is>
          <t>Анализ счета 51 за 9 месяцев 2026 г.</t>
        </is>
      </c>
      <c r="B2" s="44" t="n"/>
      <c r="C2" s="44" t="n"/>
      <c r="D2" s="44" t="n"/>
    </row>
    <row r="3">
      <c r="A3" s="45" t="n"/>
      <c r="B3" s="45" t="n"/>
      <c r="C3" s="45" t="n"/>
      <c r="D3" s="45" t="n"/>
    </row>
    <row r="4" ht="15" customHeight="1">
      <c r="A4" s="48" t="inlineStr">
        <is>
          <t>Выводимые данные: БУ (данные бухгалтерского учета)</t>
        </is>
      </c>
    </row>
    <row r="5">
      <c r="A5" s="48" t="n"/>
      <c r="B5" s="48" t="n"/>
      <c r="C5" s="44" t="n"/>
      <c r="D5" s="44" t="n"/>
    </row>
    <row r="6">
      <c r="A6" s="49" t="inlineStr">
        <is>
          <t>Счет</t>
        </is>
      </c>
      <c r="B6" s="49" t="inlineStr">
        <is>
          <t>Кор. Счет</t>
        </is>
      </c>
      <c r="C6" s="49" t="inlineStr">
        <is>
          <t>Дебет</t>
        </is>
      </c>
      <c r="D6" s="49" t="inlineStr">
        <is>
          <t>Кредит</t>
        </is>
      </c>
    </row>
    <row r="7">
      <c r="A7" s="49" t="inlineStr">
        <is>
          <t>Период</t>
        </is>
      </c>
      <c r="B7" s="95" t="n"/>
      <c r="C7" s="95" t="n"/>
      <c r="D7" s="95" t="n"/>
    </row>
    <row r="8">
      <c r="A8" s="52" t="inlineStr">
        <is>
          <t>51</t>
        </is>
      </c>
      <c r="B8" s="52" t="inlineStr">
        <is>
          <t>Начальное сальдо</t>
        </is>
      </c>
      <c r="C8" s="53" t="n">
        <v>678578.46</v>
      </c>
      <c r="D8" s="54" t="n"/>
    </row>
    <row r="9" ht="48" customHeight="1">
      <c r="A9" s="55" t="inlineStr">
        <is>
          <t>Обороты за Январь 26</t>
        </is>
      </c>
      <c r="B9" s="55" t="inlineStr">
        <is>
          <t>Начальное сальдо</t>
        </is>
      </c>
      <c r="C9" s="56" t="n">
        <v>678578.46</v>
      </c>
      <c r="D9" s="57" t="n"/>
    </row>
    <row r="10">
      <c r="A10" s="58" t="n"/>
      <c r="B10" s="59" t="inlineStr">
        <is>
          <t>55</t>
        </is>
      </c>
      <c r="C10" s="60" t="n">
        <v>207929499.02</v>
      </c>
      <c r="D10" s="60" t="n">
        <v>207819733.08</v>
      </c>
    </row>
    <row r="11">
      <c r="A11" s="58" t="n"/>
      <c r="B11" s="61" t="inlineStr">
        <is>
          <t>55.03</t>
        </is>
      </c>
      <c r="C11" s="60" t="n">
        <v>207929499.02</v>
      </c>
      <c r="D11" s="60" t="n">
        <v>207819733.08</v>
      </c>
    </row>
    <row r="12">
      <c r="A12" s="58" t="n"/>
      <c r="B12" s="59" t="inlineStr">
        <is>
          <t>57</t>
        </is>
      </c>
      <c r="C12" s="60" t="n">
        <v>7695140.49</v>
      </c>
      <c r="D12" s="60" t="n">
        <v>11645140.49</v>
      </c>
    </row>
    <row r="13">
      <c r="A13" s="58" t="n"/>
      <c r="B13" s="61" t="inlineStr">
        <is>
          <t>57.01</t>
        </is>
      </c>
      <c r="C13" s="60" t="n">
        <v>7695140.49</v>
      </c>
      <c r="D13" s="60" t="n">
        <v>11645140.49</v>
      </c>
    </row>
    <row r="14">
      <c r="A14" s="58" t="n"/>
      <c r="B14" s="59" t="inlineStr">
        <is>
          <t>60</t>
        </is>
      </c>
      <c r="C14" s="60" t="n">
        <v>2272278</v>
      </c>
      <c r="D14" s="60" t="n">
        <v>5535483.58</v>
      </c>
    </row>
    <row r="15">
      <c r="A15" s="58" t="n"/>
      <c r="B15" s="61" t="inlineStr">
        <is>
          <t>60.01</t>
        </is>
      </c>
      <c r="C15" s="62" t="n"/>
      <c r="D15" s="60" t="n">
        <v>833622.62</v>
      </c>
    </row>
    <row r="16">
      <c r="A16" s="58" t="n"/>
      <c r="B16" s="61" t="inlineStr">
        <is>
          <t>60.02</t>
        </is>
      </c>
      <c r="C16" s="60" t="n">
        <v>2272278</v>
      </c>
      <c r="D16" s="60" t="n">
        <v>4701860.96</v>
      </c>
    </row>
    <row r="17">
      <c r="A17" s="58" t="n"/>
      <c r="B17" s="59" t="inlineStr">
        <is>
          <t>62</t>
        </is>
      </c>
      <c r="C17" s="60" t="n">
        <v>15383458.85</v>
      </c>
      <c r="D17" s="62" t="n"/>
    </row>
    <row r="18" customFormat="1" s="33">
      <c r="A18" s="58" t="n"/>
      <c r="B18" s="61" t="inlineStr">
        <is>
          <t>62.01</t>
        </is>
      </c>
      <c r="C18" s="60" t="n">
        <v>15160233.71</v>
      </c>
      <c r="D18" s="62" t="n"/>
    </row>
    <row r="19" ht="18" customHeight="1">
      <c r="A19" s="58" t="n"/>
      <c r="B19" s="61" t="inlineStr">
        <is>
          <t>62.02</t>
        </is>
      </c>
      <c r="C19" s="60" t="n">
        <v>223225.14</v>
      </c>
      <c r="D19" s="62" t="n"/>
    </row>
    <row r="20">
      <c r="A20" s="58" t="n"/>
      <c r="B20" s="59" t="inlineStr">
        <is>
          <t>68</t>
        </is>
      </c>
      <c r="C20" s="62" t="n"/>
      <c r="D20" s="60" t="n">
        <v>2815277.13</v>
      </c>
    </row>
    <row r="21">
      <c r="A21" s="58" t="n"/>
      <c r="B21" s="61" t="inlineStr">
        <is>
          <t>68.90</t>
        </is>
      </c>
      <c r="C21" s="62" t="n"/>
      <c r="D21" s="60" t="n">
        <v>2815277.13</v>
      </c>
    </row>
    <row r="22" ht="13.5" customHeight="1">
      <c r="A22" s="58" t="n"/>
      <c r="B22" s="59" t="inlineStr">
        <is>
          <t>69</t>
        </is>
      </c>
      <c r="C22" s="62" t="n"/>
      <c r="D22" s="60" t="n">
        <v>28918.71</v>
      </c>
    </row>
    <row r="23">
      <c r="A23" s="58" t="n"/>
      <c r="B23" s="61" t="inlineStr">
        <is>
          <t>69.11</t>
        </is>
      </c>
      <c r="C23" s="62" t="n"/>
      <c r="D23" s="60" t="n">
        <v>28918.71</v>
      </c>
    </row>
    <row r="24">
      <c r="A24" s="58" t="n"/>
      <c r="B24" s="59" t="inlineStr">
        <is>
          <t>70</t>
        </is>
      </c>
      <c r="C24" s="62" t="n"/>
      <c r="D24" s="60" t="n">
        <v>447310.72</v>
      </c>
    </row>
    <row r="25">
      <c r="A25" s="58" t="n"/>
      <c r="B25" s="59" t="inlineStr">
        <is>
          <t>71</t>
        </is>
      </c>
      <c r="C25" s="62" t="n"/>
      <c r="D25" s="60" t="n">
        <v>93500</v>
      </c>
    </row>
    <row r="26">
      <c r="A26" s="58" t="n"/>
      <c r="B26" s="61" t="inlineStr">
        <is>
          <t>71.01</t>
        </is>
      </c>
      <c r="C26" s="62" t="n"/>
      <c r="D26" s="60" t="n">
        <v>93500</v>
      </c>
    </row>
    <row r="27">
      <c r="A27" s="58" t="n"/>
      <c r="B27" s="59" t="inlineStr">
        <is>
          <t>76</t>
        </is>
      </c>
      <c r="C27" s="62" t="n"/>
      <c r="D27" s="60" t="n">
        <v>3980231.8</v>
      </c>
    </row>
    <row r="28">
      <c r="A28" s="58" t="n"/>
      <c r="B28" s="61" t="inlineStr">
        <is>
          <t>76.02</t>
        </is>
      </c>
      <c r="C28" s="62" t="n"/>
      <c r="D28" s="60" t="n">
        <v>82000</v>
      </c>
    </row>
    <row r="29">
      <c r="A29" s="58" t="n"/>
      <c r="B29" s="61" t="inlineStr">
        <is>
          <t>76.10</t>
        </is>
      </c>
      <c r="C29" s="62" t="n"/>
      <c r="D29" s="60" t="n">
        <v>3898231.8</v>
      </c>
    </row>
    <row r="30">
      <c r="A30" s="58" t="n"/>
      <c r="B30" s="59" t="inlineStr">
        <is>
          <t>84</t>
        </is>
      </c>
      <c r="C30" s="62" t="n"/>
      <c r="D30" s="60" t="n">
        <v>975000</v>
      </c>
    </row>
    <row r="31">
      <c r="A31" s="58" t="n"/>
      <c r="B31" s="61" t="inlineStr">
        <is>
          <t>84.01</t>
        </is>
      </c>
      <c r="C31" s="62" t="n"/>
      <c r="D31" s="60" t="n">
        <v>975000</v>
      </c>
    </row>
    <row r="32">
      <c r="A32" s="58" t="n"/>
      <c r="B32" s="59" t="inlineStr">
        <is>
          <t>91</t>
        </is>
      </c>
      <c r="C32" s="60" t="n">
        <v>183460.45</v>
      </c>
      <c r="D32" s="60" t="n">
        <v>46884.38</v>
      </c>
    </row>
    <row r="33">
      <c r="A33" s="58" t="n"/>
      <c r="B33" s="61" t="inlineStr">
        <is>
          <t>91.01</t>
        </is>
      </c>
      <c r="C33" s="60" t="n">
        <v>183460.45</v>
      </c>
      <c r="D33" s="62" t="n"/>
    </row>
    <row r="34">
      <c r="A34" s="58" t="n"/>
      <c r="B34" s="61" t="inlineStr">
        <is>
          <t>91.02</t>
        </is>
      </c>
      <c r="C34" s="62" t="n"/>
      <c r="D34" s="60" t="n">
        <v>46884.38</v>
      </c>
    </row>
    <row r="35">
      <c r="A35" s="63" t="n"/>
      <c r="B35" s="55" t="inlineStr">
        <is>
          <t>Оборот</t>
        </is>
      </c>
      <c r="C35" s="56" t="n">
        <v>233463836.81</v>
      </c>
      <c r="D35" s="56" t="n">
        <v>233387479.89</v>
      </c>
    </row>
    <row r="36">
      <c r="A36" s="63" t="n"/>
      <c r="B36" s="55" t="inlineStr">
        <is>
          <t>Конечное сальдо</t>
        </is>
      </c>
      <c r="C36" s="56" t="n">
        <v>754935.38</v>
      </c>
      <c r="D36" s="57" t="n"/>
    </row>
    <row r="37" ht="48" customHeight="1">
      <c r="A37" s="55" t="inlineStr">
        <is>
          <t>Обороты за Февраль 26</t>
        </is>
      </c>
      <c r="B37" s="55" t="inlineStr">
        <is>
          <t>Начальное сальдо</t>
        </is>
      </c>
      <c r="C37" s="56" t="n">
        <v>754935.38</v>
      </c>
      <c r="D37" s="57" t="n"/>
    </row>
    <row r="38">
      <c r="A38" s="58" t="n"/>
      <c r="B38" s="59" t="inlineStr">
        <is>
          <t>55</t>
        </is>
      </c>
      <c r="C38" s="60" t="n">
        <v>191380670.57</v>
      </c>
      <c r="D38" s="60" t="n">
        <v>189593271.37</v>
      </c>
    </row>
    <row r="39">
      <c r="A39" s="58" t="n"/>
      <c r="B39" s="61" t="inlineStr">
        <is>
          <t>55.03</t>
        </is>
      </c>
      <c r="C39" s="60" t="n">
        <v>191380670.57</v>
      </c>
      <c r="D39" s="60" t="n">
        <v>189593271.37</v>
      </c>
    </row>
    <row r="40">
      <c r="A40" s="58" t="n"/>
      <c r="B40" s="59" t="inlineStr">
        <is>
          <t>57</t>
        </is>
      </c>
      <c r="C40" s="60" t="n">
        <v>8295406.26</v>
      </c>
      <c r="D40" s="60" t="n">
        <v>13995406.26</v>
      </c>
    </row>
    <row r="41">
      <c r="A41" s="58" t="n"/>
      <c r="B41" s="61" t="inlineStr">
        <is>
          <t>57.01</t>
        </is>
      </c>
      <c r="C41" s="60" t="n">
        <v>8295406.26</v>
      </c>
      <c r="D41" s="60" t="n">
        <v>13995406.26</v>
      </c>
    </row>
    <row r="42">
      <c r="A42" s="58" t="n"/>
      <c r="B42" s="59" t="inlineStr">
        <is>
          <t>60</t>
        </is>
      </c>
      <c r="C42" s="60" t="n">
        <v>345416.98</v>
      </c>
      <c r="D42" s="60" t="n">
        <v>4206686.61</v>
      </c>
    </row>
    <row r="43" customFormat="1" s="32">
      <c r="A43" s="58" t="n"/>
      <c r="B43" s="61" t="inlineStr">
        <is>
          <t>60.01</t>
        </is>
      </c>
      <c r="C43" s="60" t="n">
        <v>138492.98</v>
      </c>
      <c r="D43" s="60" t="n">
        <v>1024430.83</v>
      </c>
    </row>
    <row r="44">
      <c r="A44" s="58" t="n"/>
      <c r="B44" s="61" t="inlineStr">
        <is>
          <t>60.02</t>
        </is>
      </c>
      <c r="C44" s="60" t="n">
        <v>206924</v>
      </c>
      <c r="D44" s="60" t="n">
        <v>3182255.78</v>
      </c>
    </row>
    <row r="45">
      <c r="A45" s="58" t="n"/>
      <c r="B45" s="59" t="inlineStr">
        <is>
          <t>62</t>
        </is>
      </c>
      <c r="C45" s="60" t="n">
        <v>17159890.93</v>
      </c>
      <c r="D45" s="60" t="n">
        <v>144000</v>
      </c>
    </row>
    <row r="46">
      <c r="A46" s="58" t="n"/>
      <c r="B46" s="61" t="inlineStr">
        <is>
          <t>62.01</t>
        </is>
      </c>
      <c r="C46" s="60" t="n">
        <v>17149350.93</v>
      </c>
      <c r="D46" s="62" t="n"/>
    </row>
    <row r="47">
      <c r="A47" s="58" t="n"/>
      <c r="B47" s="61" t="inlineStr">
        <is>
          <t>62.02</t>
        </is>
      </c>
      <c r="C47" s="60" t="n">
        <v>10540</v>
      </c>
      <c r="D47" s="60" t="n">
        <v>144000</v>
      </c>
    </row>
    <row r="48">
      <c r="A48" s="58" t="n"/>
      <c r="B48" s="59" t="inlineStr">
        <is>
          <t>68</t>
        </is>
      </c>
      <c r="C48" s="62" t="n"/>
      <c r="D48" s="60" t="n">
        <v>2709170.87</v>
      </c>
    </row>
    <row r="49">
      <c r="A49" s="58" t="n"/>
      <c r="B49" s="61" t="inlineStr">
        <is>
          <t>68.90</t>
        </is>
      </c>
      <c r="C49" s="62" t="n"/>
      <c r="D49" s="60" t="n">
        <v>2709170.87</v>
      </c>
    </row>
    <row r="50">
      <c r="A50" s="58" t="n"/>
      <c r="B50" s="59" t="inlineStr">
        <is>
          <t>69</t>
        </is>
      </c>
      <c r="C50" s="62" t="n"/>
      <c r="D50" s="60" t="n">
        <v>30000</v>
      </c>
    </row>
    <row r="51">
      <c r="A51" s="58" t="n"/>
      <c r="B51" s="61" t="inlineStr">
        <is>
          <t>69.11</t>
        </is>
      </c>
      <c r="C51" s="62" t="n"/>
      <c r="D51" s="60" t="n">
        <v>30000</v>
      </c>
    </row>
    <row r="52">
      <c r="A52" s="58" t="n"/>
      <c r="B52" s="59" t="inlineStr">
        <is>
          <t>70</t>
        </is>
      </c>
      <c r="C52" s="62" t="n"/>
      <c r="D52" s="60" t="n">
        <v>1414952.58</v>
      </c>
    </row>
    <row r="53">
      <c r="A53" s="58" t="n"/>
      <c r="B53" s="59" t="inlineStr">
        <is>
          <t>71</t>
        </is>
      </c>
      <c r="C53" s="62" t="n"/>
      <c r="D53" s="60" t="n">
        <v>88500</v>
      </c>
    </row>
    <row r="54">
      <c r="A54" s="58" t="n"/>
      <c r="B54" s="61" t="inlineStr">
        <is>
          <t>71.01</t>
        </is>
      </c>
      <c r="C54" s="62" t="n"/>
      <c r="D54" s="60" t="n">
        <v>88500</v>
      </c>
    </row>
    <row r="55">
      <c r="A55" s="58" t="n"/>
      <c r="B55" s="59" t="inlineStr">
        <is>
          <t>76</t>
        </is>
      </c>
      <c r="C55" s="62" t="n"/>
      <c r="D55" s="60" t="n">
        <v>3797800</v>
      </c>
    </row>
    <row r="56">
      <c r="A56" s="58" t="n"/>
      <c r="B56" s="61" t="inlineStr">
        <is>
          <t>76.10</t>
        </is>
      </c>
      <c r="C56" s="62" t="n"/>
      <c r="D56" s="60" t="n">
        <v>3797800</v>
      </c>
    </row>
    <row r="57">
      <c r="A57" s="58" t="n"/>
      <c r="B57" s="59" t="inlineStr">
        <is>
          <t>84</t>
        </is>
      </c>
      <c r="C57" s="62" t="n"/>
      <c r="D57" s="60" t="n">
        <v>1359330</v>
      </c>
    </row>
    <row r="58">
      <c r="A58" s="58" t="n"/>
      <c r="B58" s="61" t="inlineStr">
        <is>
          <t>84.01</t>
        </is>
      </c>
      <c r="C58" s="62" t="n"/>
      <c r="D58" s="60" t="n">
        <v>1359330</v>
      </c>
    </row>
    <row r="59">
      <c r="A59" s="58" t="n"/>
      <c r="B59" s="59" t="inlineStr">
        <is>
          <t>91</t>
        </is>
      </c>
      <c r="C59" s="60" t="n">
        <v>245945.64</v>
      </c>
      <c r="D59" s="60" t="n">
        <v>57152</v>
      </c>
    </row>
    <row r="60">
      <c r="A60" s="58" t="n"/>
      <c r="B60" s="61" t="inlineStr">
        <is>
          <t>91.01</t>
        </is>
      </c>
      <c r="C60" s="60" t="n">
        <v>245945.64</v>
      </c>
      <c r="D60" s="62" t="n"/>
    </row>
    <row r="61">
      <c r="A61" s="58" t="n"/>
      <c r="B61" s="61" t="inlineStr">
        <is>
          <t>91.02</t>
        </is>
      </c>
      <c r="C61" s="62" t="n"/>
      <c r="D61" s="60" t="n">
        <v>57152</v>
      </c>
    </row>
    <row r="62">
      <c r="A62" s="63" t="n"/>
      <c r="B62" s="55" t="inlineStr">
        <is>
          <t>Оборот</t>
        </is>
      </c>
      <c r="C62" s="56" t="n">
        <v>217427330.38</v>
      </c>
      <c r="D62" s="56" t="n">
        <v>217396269.69</v>
      </c>
    </row>
    <row r="63">
      <c r="A63" s="63" t="n"/>
      <c r="B63" s="55" t="inlineStr">
        <is>
          <t>Конечное сальдо</t>
        </is>
      </c>
      <c r="C63" s="56" t="n">
        <v>785996.0699999999</v>
      </c>
      <c r="D63" s="57" t="n"/>
    </row>
    <row r="64" ht="48" customHeight="1">
      <c r="A64" s="55" t="inlineStr">
        <is>
          <t>Обороты за Март 26</t>
        </is>
      </c>
      <c r="B64" s="55" t="inlineStr">
        <is>
          <t>Начальное сальдо</t>
        </is>
      </c>
      <c r="C64" s="56" t="n">
        <v>785996.0699999999</v>
      </c>
      <c r="D64" s="57" t="n"/>
    </row>
    <row r="65">
      <c r="A65" s="58" t="n"/>
      <c r="B65" s="59" t="inlineStr">
        <is>
          <t>55</t>
        </is>
      </c>
      <c r="C65" s="60" t="n">
        <v>241058497.77</v>
      </c>
      <c r="D65" s="60" t="n">
        <v>239100273.25</v>
      </c>
    </row>
    <row r="66">
      <c r="A66" s="58" t="n"/>
      <c r="B66" s="61" t="inlineStr">
        <is>
          <t>55.03</t>
        </is>
      </c>
      <c r="C66" s="60" t="n">
        <v>241058497.77</v>
      </c>
      <c r="D66" s="60" t="n">
        <v>239100273.25</v>
      </c>
    </row>
    <row r="67">
      <c r="A67" s="58" t="n"/>
      <c r="B67" s="59" t="inlineStr">
        <is>
          <t>57</t>
        </is>
      </c>
      <c r="C67" s="60" t="n">
        <v>4568717</v>
      </c>
      <c r="D67" s="60" t="n">
        <v>4668717</v>
      </c>
    </row>
    <row r="68">
      <c r="A68" s="58" t="n"/>
      <c r="B68" s="61" t="inlineStr">
        <is>
          <t>57.01</t>
        </is>
      </c>
      <c r="C68" s="60" t="n">
        <v>4568717</v>
      </c>
      <c r="D68" s="60" t="n">
        <v>4668717</v>
      </c>
    </row>
    <row r="69">
      <c r="A69" s="58" t="n"/>
      <c r="B69" s="59" t="inlineStr">
        <is>
          <t>60</t>
        </is>
      </c>
      <c r="C69" s="60" t="n">
        <v>56078</v>
      </c>
      <c r="D69" s="60" t="n">
        <v>5309391.53</v>
      </c>
    </row>
    <row r="70">
      <c r="A70" s="58" t="n"/>
      <c r="B70" s="61" t="inlineStr">
        <is>
          <t>60.01</t>
        </is>
      </c>
      <c r="C70" s="60" t="n">
        <v>13842</v>
      </c>
      <c r="D70" s="60" t="n">
        <v>790752.8</v>
      </c>
    </row>
    <row r="71">
      <c r="A71" s="58" t="n"/>
      <c r="B71" s="61" t="inlineStr">
        <is>
          <t>60.02</t>
        </is>
      </c>
      <c r="C71" s="60" t="n">
        <v>42236</v>
      </c>
      <c r="D71" s="60" t="n">
        <v>4518638.73</v>
      </c>
    </row>
    <row r="72">
      <c r="A72" s="58" t="n"/>
      <c r="B72" s="59" t="inlineStr">
        <is>
          <t>62</t>
        </is>
      </c>
      <c r="C72" s="60" t="n">
        <v>15992753.43</v>
      </c>
      <c r="D72" s="62" t="n"/>
    </row>
    <row r="73">
      <c r="A73" s="58" t="n"/>
      <c r="B73" s="61" t="inlineStr">
        <is>
          <t>62.01</t>
        </is>
      </c>
      <c r="C73" s="60" t="n">
        <v>15990313.43</v>
      </c>
      <c r="D73" s="62" t="n"/>
    </row>
    <row r="74">
      <c r="A74" s="58" t="n"/>
      <c r="B74" s="61" t="inlineStr">
        <is>
          <t>62.02</t>
        </is>
      </c>
      <c r="C74" s="60" t="n">
        <v>2440</v>
      </c>
      <c r="D74" s="62" t="n"/>
    </row>
    <row r="75">
      <c r="A75" s="58" t="n"/>
      <c r="B75" s="59" t="inlineStr">
        <is>
          <t>67</t>
        </is>
      </c>
      <c r="C75" s="60" t="n">
        <v>1350</v>
      </c>
      <c r="D75" s="62" t="n"/>
    </row>
    <row r="76">
      <c r="A76" s="58" t="n"/>
      <c r="B76" s="61" t="inlineStr">
        <is>
          <t>67.03</t>
        </is>
      </c>
      <c r="C76" s="60" t="n">
        <v>1350</v>
      </c>
      <c r="D76" s="62" t="n"/>
    </row>
    <row r="77">
      <c r="A77" s="58" t="n"/>
      <c r="B77" s="59" t="inlineStr">
        <is>
          <t>68</t>
        </is>
      </c>
      <c r="C77" s="62" t="n"/>
      <c r="D77" s="60" t="n">
        <v>2666699.61</v>
      </c>
    </row>
    <row r="78">
      <c r="A78" s="58" t="n"/>
      <c r="B78" s="61" t="inlineStr">
        <is>
          <t>68.90</t>
        </is>
      </c>
      <c r="C78" s="62" t="n"/>
      <c r="D78" s="60" t="n">
        <v>2666699.61</v>
      </c>
    </row>
    <row r="79">
      <c r="A79" s="58" t="n"/>
      <c r="B79" s="59" t="inlineStr">
        <is>
          <t>69</t>
        </is>
      </c>
      <c r="C79" s="62" t="n"/>
      <c r="D79" s="60" t="n">
        <v>34500</v>
      </c>
    </row>
    <row r="80">
      <c r="A80" s="58" t="n"/>
      <c r="B80" s="61" t="inlineStr">
        <is>
          <t>69.01</t>
        </is>
      </c>
      <c r="C80" s="62" t="n"/>
      <c r="D80" s="64" t="n">
        <v>500</v>
      </c>
    </row>
    <row r="81">
      <c r="A81" s="58" t="n"/>
      <c r="B81" s="61" t="inlineStr">
        <is>
          <t>69.11</t>
        </is>
      </c>
      <c r="C81" s="62" t="n"/>
      <c r="D81" s="60" t="n">
        <v>34000</v>
      </c>
    </row>
    <row r="82">
      <c r="A82" s="58" t="n"/>
      <c r="B82" s="59" t="inlineStr">
        <is>
          <t>70</t>
        </is>
      </c>
      <c r="C82" s="62" t="n"/>
      <c r="D82" s="60" t="n">
        <v>1202004.08</v>
      </c>
    </row>
    <row r="83">
      <c r="A83" s="58" t="n"/>
      <c r="B83" s="59" t="inlineStr">
        <is>
          <t>71</t>
        </is>
      </c>
      <c r="C83" s="62" t="n"/>
      <c r="D83" s="60" t="n">
        <v>73500</v>
      </c>
    </row>
    <row r="84">
      <c r="A84" s="58" t="n"/>
      <c r="B84" s="61" t="inlineStr">
        <is>
          <t>71.01</t>
        </is>
      </c>
      <c r="C84" s="62" t="n"/>
      <c r="D84" s="60" t="n">
        <v>73500</v>
      </c>
    </row>
    <row r="85">
      <c r="A85" s="58" t="n"/>
      <c r="B85" s="59" t="inlineStr">
        <is>
          <t>76</t>
        </is>
      </c>
      <c r="C85" s="62" t="n"/>
      <c r="D85" s="60" t="n">
        <v>3854909.32</v>
      </c>
    </row>
    <row r="86">
      <c r="A86" s="58" t="n"/>
      <c r="B86" s="61" t="inlineStr">
        <is>
          <t>76.10</t>
        </is>
      </c>
      <c r="C86" s="62" t="n"/>
      <c r="D86" s="60" t="n">
        <v>3854909.32</v>
      </c>
    </row>
    <row r="87">
      <c r="A87" s="58" t="n"/>
      <c r="B87" s="59" t="inlineStr">
        <is>
          <t>84</t>
        </is>
      </c>
      <c r="C87" s="62" t="n"/>
      <c r="D87" s="60" t="n">
        <v>5103057</v>
      </c>
    </row>
    <row r="88">
      <c r="A88" s="58" t="n"/>
      <c r="B88" s="61" t="inlineStr">
        <is>
          <t>84.01</t>
        </is>
      </c>
      <c r="C88" s="62" t="n"/>
      <c r="D88" s="60" t="n">
        <v>5103057</v>
      </c>
    </row>
    <row r="89">
      <c r="A89" s="58" t="n"/>
      <c r="B89" s="59" t="inlineStr">
        <is>
          <t>91</t>
        </is>
      </c>
      <c r="C89" s="60" t="n">
        <v>157836.03</v>
      </c>
      <c r="D89" s="60" t="n">
        <v>79600.34</v>
      </c>
    </row>
    <row r="90">
      <c r="A90" s="58" t="n"/>
      <c r="B90" s="61" t="inlineStr">
        <is>
          <t>91.01</t>
        </is>
      </c>
      <c r="C90" s="60" t="n">
        <v>157836.03</v>
      </c>
      <c r="D90" s="62" t="n"/>
    </row>
    <row r="91">
      <c r="A91" s="58" t="n"/>
      <c r="B91" s="61" t="inlineStr">
        <is>
          <t>91.02</t>
        </is>
      </c>
      <c r="C91" s="62" t="n"/>
      <c r="D91" s="60" t="n">
        <v>79600.34</v>
      </c>
    </row>
    <row r="92">
      <c r="A92" s="63" t="n"/>
      <c r="B92" s="55" t="inlineStr">
        <is>
          <t>Оборот</t>
        </is>
      </c>
      <c r="C92" s="56" t="n">
        <v>261835232.23</v>
      </c>
      <c r="D92" s="56" t="n">
        <v>262092652.13</v>
      </c>
    </row>
    <row r="93">
      <c r="A93" s="63" t="n"/>
      <c r="B93" s="55" t="inlineStr">
        <is>
          <t>Конечное сальдо</t>
        </is>
      </c>
      <c r="C93" s="56" t="n">
        <v>528576.17</v>
      </c>
      <c r="D93" s="57" t="n"/>
    </row>
    <row r="94" ht="48" customHeight="1">
      <c r="A94" s="55" t="inlineStr">
        <is>
          <t>Обороты за Апрель 26</t>
        </is>
      </c>
      <c r="B94" s="55" t="inlineStr">
        <is>
          <t>Начальное сальдо</t>
        </is>
      </c>
      <c r="C94" s="56" t="n">
        <v>528576.17</v>
      </c>
      <c r="D94" s="57" t="n"/>
    </row>
    <row r="95">
      <c r="A95" s="58" t="n"/>
      <c r="B95" s="59" t="inlineStr">
        <is>
          <t>55</t>
        </is>
      </c>
      <c r="C95" s="60" t="n">
        <v>285428277.81</v>
      </c>
      <c r="D95" s="60" t="n">
        <v>281634710.89</v>
      </c>
    </row>
    <row r="96">
      <c r="A96" s="58" t="n"/>
      <c r="B96" s="61" t="inlineStr">
        <is>
          <t>55.03</t>
        </is>
      </c>
      <c r="C96" s="60" t="n">
        <v>285428277.81</v>
      </c>
      <c r="D96" s="60" t="n">
        <v>281634710.89</v>
      </c>
    </row>
    <row r="97">
      <c r="A97" s="58" t="n"/>
      <c r="B97" s="59" t="inlineStr">
        <is>
          <t>57</t>
        </is>
      </c>
      <c r="C97" s="60" t="n">
        <v>3869434</v>
      </c>
      <c r="D97" s="60" t="n">
        <v>9154434</v>
      </c>
    </row>
    <row r="98">
      <c r="A98" s="58" t="n"/>
      <c r="B98" s="61" t="inlineStr">
        <is>
          <t>57.01</t>
        </is>
      </c>
      <c r="C98" s="60" t="n">
        <v>3869434</v>
      </c>
      <c r="D98" s="60" t="n">
        <v>9154434</v>
      </c>
    </row>
    <row r="99">
      <c r="A99" s="58" t="n"/>
      <c r="B99" s="59" t="inlineStr">
        <is>
          <t>58</t>
        </is>
      </c>
      <c r="C99" s="62" t="n"/>
      <c r="D99" s="60" t="n">
        <v>2100000</v>
      </c>
    </row>
    <row r="100">
      <c r="A100" s="58" t="n"/>
      <c r="B100" s="61" t="inlineStr">
        <is>
          <t>58.03</t>
        </is>
      </c>
      <c r="C100" s="62" t="n"/>
      <c r="D100" s="60" t="n">
        <v>2100000</v>
      </c>
    </row>
    <row r="101">
      <c r="A101" s="58" t="n"/>
      <c r="B101" s="59" t="inlineStr">
        <is>
          <t>60</t>
        </is>
      </c>
      <c r="C101" s="62" t="n"/>
      <c r="D101" s="60" t="n">
        <v>3082385.26</v>
      </c>
    </row>
    <row r="102">
      <c r="A102" s="58" t="n"/>
      <c r="B102" s="61" t="inlineStr">
        <is>
          <t>60.01</t>
        </is>
      </c>
      <c r="C102" s="62" t="n"/>
      <c r="D102" s="60" t="n">
        <v>753121.03</v>
      </c>
    </row>
    <row r="103">
      <c r="A103" s="58" t="n"/>
      <c r="B103" s="61" t="inlineStr">
        <is>
          <t>60.02</t>
        </is>
      </c>
      <c r="C103" s="62" t="n"/>
      <c r="D103" s="60" t="n">
        <v>2329264.23</v>
      </c>
    </row>
    <row r="104">
      <c r="A104" s="58" t="n"/>
      <c r="B104" s="59" t="inlineStr">
        <is>
          <t>62</t>
        </is>
      </c>
      <c r="C104" s="60" t="n">
        <v>18768771.09</v>
      </c>
      <c r="D104" s="62" t="n"/>
    </row>
    <row r="105">
      <c r="A105" s="58" t="n"/>
      <c r="B105" s="61" t="inlineStr">
        <is>
          <t>62.01</t>
        </is>
      </c>
      <c r="C105" s="60" t="n">
        <v>18768771.09</v>
      </c>
      <c r="D105" s="62" t="n"/>
    </row>
    <row r="106">
      <c r="A106" s="58" t="n"/>
      <c r="B106" s="59" t="inlineStr">
        <is>
          <t>68</t>
        </is>
      </c>
      <c r="C106" s="62" t="n"/>
      <c r="D106" s="60" t="n">
        <v>4093677.73</v>
      </c>
    </row>
    <row r="107">
      <c r="A107" s="58" t="n"/>
      <c r="B107" s="61" t="inlineStr">
        <is>
          <t>68.90</t>
        </is>
      </c>
      <c r="C107" s="62" t="n"/>
      <c r="D107" s="60" t="n">
        <v>4093677.73</v>
      </c>
    </row>
    <row r="108">
      <c r="A108" s="58" t="n"/>
      <c r="B108" s="59" t="inlineStr">
        <is>
          <t>69</t>
        </is>
      </c>
      <c r="C108" s="62" t="n"/>
      <c r="D108" s="60" t="n">
        <v>37369.29</v>
      </c>
    </row>
    <row r="109">
      <c r="A109" s="58" t="n"/>
      <c r="B109" s="61" t="inlineStr">
        <is>
          <t>69.11</t>
        </is>
      </c>
      <c r="C109" s="62" t="n"/>
      <c r="D109" s="60" t="n">
        <v>37369.29</v>
      </c>
    </row>
    <row r="110">
      <c r="A110" s="58" t="n"/>
      <c r="B110" s="59" t="inlineStr">
        <is>
          <t>70</t>
        </is>
      </c>
      <c r="C110" s="62" t="n"/>
      <c r="D110" s="60" t="n">
        <v>1363687.94</v>
      </c>
    </row>
    <row r="111">
      <c r="A111" s="58" t="n"/>
      <c r="B111" s="59" t="inlineStr">
        <is>
          <t>71</t>
        </is>
      </c>
      <c r="C111" s="62" t="n"/>
      <c r="D111" s="60" t="n">
        <v>73500</v>
      </c>
    </row>
    <row r="112">
      <c r="A112" s="58" t="n"/>
      <c r="B112" s="61" t="inlineStr">
        <is>
          <t>71.01</t>
        </is>
      </c>
      <c r="C112" s="62" t="n"/>
      <c r="D112" s="60" t="n">
        <v>73500</v>
      </c>
    </row>
    <row r="113">
      <c r="A113" s="58" t="n"/>
      <c r="B113" s="59" t="inlineStr">
        <is>
          <t>76</t>
        </is>
      </c>
      <c r="C113" s="60" t="n">
        <v>2500</v>
      </c>
      <c r="D113" s="60" t="n">
        <v>3907494.22</v>
      </c>
    </row>
    <row r="114">
      <c r="A114" s="58" t="n"/>
      <c r="B114" s="61" t="inlineStr">
        <is>
          <t>76.05</t>
        </is>
      </c>
      <c r="C114" s="62" t="n"/>
      <c r="D114" s="60" t="n">
        <v>56118.12</v>
      </c>
    </row>
    <row r="115">
      <c r="A115" s="58" t="n"/>
      <c r="B115" s="61" t="inlineStr">
        <is>
          <t>76.10</t>
        </is>
      </c>
      <c r="C115" s="60" t="n">
        <v>2500</v>
      </c>
      <c r="D115" s="60" t="n">
        <v>3841115.2</v>
      </c>
    </row>
    <row r="116">
      <c r="A116" s="58" t="n"/>
      <c r="B116" s="61" t="inlineStr">
        <is>
          <t>76.41</t>
        </is>
      </c>
      <c r="C116" s="62" t="n"/>
      <c r="D116" s="60" t="n">
        <v>10260.9</v>
      </c>
    </row>
    <row r="117">
      <c r="A117" s="58" t="n"/>
      <c r="B117" s="59" t="inlineStr">
        <is>
          <t>84</t>
        </is>
      </c>
      <c r="C117" s="62" t="n"/>
      <c r="D117" s="60" t="n">
        <v>1667625</v>
      </c>
    </row>
    <row r="118">
      <c r="A118" s="58" t="n"/>
      <c r="B118" s="61" t="inlineStr">
        <is>
          <t>84.01</t>
        </is>
      </c>
      <c r="C118" s="62" t="n"/>
      <c r="D118" s="60" t="n">
        <v>1667625</v>
      </c>
    </row>
    <row r="119">
      <c r="A119" s="58" t="n"/>
      <c r="B119" s="59" t="inlineStr">
        <is>
          <t>91</t>
        </is>
      </c>
      <c r="C119" s="60" t="n">
        <v>183656.45</v>
      </c>
      <c r="D119" s="60" t="n">
        <v>51935</v>
      </c>
    </row>
    <row r="120">
      <c r="A120" s="58" t="n"/>
      <c r="B120" s="61" t="inlineStr">
        <is>
          <t>91.01</t>
        </is>
      </c>
      <c r="C120" s="60" t="n">
        <v>183656.45</v>
      </c>
      <c r="D120" s="62" t="n"/>
    </row>
    <row r="121">
      <c r="A121" s="58" t="n"/>
      <c r="B121" s="61" t="inlineStr">
        <is>
          <t>91.02</t>
        </is>
      </c>
      <c r="C121" s="62" t="n"/>
      <c r="D121" s="60" t="n">
        <v>51935</v>
      </c>
    </row>
    <row r="122">
      <c r="A122" s="63" t="n"/>
      <c r="B122" s="55" t="inlineStr">
        <is>
          <t>Оборот</t>
        </is>
      </c>
      <c r="C122" s="56" t="n">
        <v>308252639.35</v>
      </c>
      <c r="D122" s="56" t="n">
        <v>307166819.33</v>
      </c>
    </row>
    <row r="123">
      <c r="A123" s="63" t="n"/>
      <c r="B123" s="55" t="inlineStr">
        <is>
          <t>Конечное сальдо</t>
        </is>
      </c>
      <c r="C123" s="56" t="n">
        <v>1614396.19</v>
      </c>
      <c r="D123" s="57" t="n"/>
    </row>
    <row r="124" ht="48" customHeight="1">
      <c r="A124" s="55" t="inlineStr">
        <is>
          <t>Обороты за Май 26</t>
        </is>
      </c>
      <c r="B124" s="55" t="inlineStr">
        <is>
          <t>Начальное сальдо</t>
        </is>
      </c>
      <c r="C124" s="56" t="n">
        <v>1614396.19</v>
      </c>
      <c r="D124" s="57" t="n"/>
    </row>
    <row r="125">
      <c r="A125" s="58" t="n"/>
      <c r="B125" s="59" t="inlineStr">
        <is>
          <t>55</t>
        </is>
      </c>
      <c r="C125" s="60" t="n">
        <v>175798229.21</v>
      </c>
      <c r="D125" s="60" t="n">
        <v>174058310.36</v>
      </c>
    </row>
    <row r="126">
      <c r="A126" s="58" t="n"/>
      <c r="B126" s="61" t="inlineStr">
        <is>
          <t>55.03</t>
        </is>
      </c>
      <c r="C126" s="60" t="n">
        <v>175798229.21</v>
      </c>
      <c r="D126" s="60" t="n">
        <v>174058310.36</v>
      </c>
    </row>
    <row r="127">
      <c r="A127" s="58" t="n"/>
      <c r="B127" s="59" t="inlineStr">
        <is>
          <t>57</t>
        </is>
      </c>
      <c r="C127" s="60" t="n">
        <v>8192325.52</v>
      </c>
      <c r="D127" s="60" t="n">
        <v>13942325.52</v>
      </c>
    </row>
    <row r="128">
      <c r="A128" s="58" t="n"/>
      <c r="B128" s="61" t="inlineStr">
        <is>
          <t>57.01</t>
        </is>
      </c>
      <c r="C128" s="60" t="n">
        <v>8192325.52</v>
      </c>
      <c r="D128" s="60" t="n">
        <v>13942325.52</v>
      </c>
    </row>
    <row r="129">
      <c r="A129" s="58" t="n"/>
      <c r="B129" s="59" t="inlineStr">
        <is>
          <t>60</t>
        </is>
      </c>
      <c r="C129" s="60" t="n">
        <v>30405</v>
      </c>
      <c r="D129" s="60" t="n">
        <v>2346941.64</v>
      </c>
    </row>
    <row r="130">
      <c r="A130" s="58" t="n"/>
      <c r="B130" s="61" t="inlineStr">
        <is>
          <t>60.01</t>
        </is>
      </c>
      <c r="C130" s="60" t="n">
        <v>2527</v>
      </c>
      <c r="D130" s="60" t="n">
        <v>357502.89</v>
      </c>
    </row>
    <row r="131">
      <c r="A131" s="58" t="n"/>
      <c r="B131" s="61" t="inlineStr">
        <is>
          <t>60.02</t>
        </is>
      </c>
      <c r="C131" s="60" t="n">
        <v>27878</v>
      </c>
      <c r="D131" s="60" t="n">
        <v>1989438.75</v>
      </c>
    </row>
    <row r="132">
      <c r="A132" s="58" t="n"/>
      <c r="B132" s="59" t="inlineStr">
        <is>
          <t>62</t>
        </is>
      </c>
      <c r="C132" s="60" t="n">
        <v>14489126.09</v>
      </c>
      <c r="D132" s="62" t="n"/>
    </row>
    <row r="133">
      <c r="A133" s="58" t="n"/>
      <c r="B133" s="61" t="inlineStr">
        <is>
          <t>62.01</t>
        </is>
      </c>
      <c r="C133" s="60" t="n">
        <v>14486686.09</v>
      </c>
      <c r="D133" s="62" t="n"/>
    </row>
    <row r="134">
      <c r="A134" s="58" t="n"/>
      <c r="B134" s="61" t="inlineStr">
        <is>
          <t>62.02</t>
        </is>
      </c>
      <c r="C134" s="60" t="n">
        <v>2440</v>
      </c>
      <c r="D134" s="62" t="n"/>
    </row>
    <row r="135">
      <c r="A135" s="58" t="n"/>
      <c r="B135" s="59" t="inlineStr">
        <is>
          <t>68</t>
        </is>
      </c>
      <c r="C135" s="62" t="n"/>
      <c r="D135" s="60" t="n">
        <v>3294756.44</v>
      </c>
    </row>
    <row r="136">
      <c r="A136" s="58" t="n"/>
      <c r="B136" s="61" t="inlineStr">
        <is>
          <t>68.90</t>
        </is>
      </c>
      <c r="C136" s="62" t="n"/>
      <c r="D136" s="60" t="n">
        <v>3294756.44</v>
      </c>
    </row>
    <row r="137">
      <c r="A137" s="58" t="n"/>
      <c r="B137" s="59" t="inlineStr">
        <is>
          <t>69</t>
        </is>
      </c>
      <c r="C137" s="62" t="n"/>
      <c r="D137" s="60" t="n">
        <v>7644.26</v>
      </c>
    </row>
    <row r="138">
      <c r="A138" s="58" t="n"/>
      <c r="B138" s="61" t="inlineStr">
        <is>
          <t>69.11</t>
        </is>
      </c>
      <c r="C138" s="62" t="n"/>
      <c r="D138" s="60" t="n">
        <v>7644.26</v>
      </c>
    </row>
    <row r="139">
      <c r="A139" s="58" t="n"/>
      <c r="B139" s="59" t="inlineStr">
        <is>
          <t>70</t>
        </is>
      </c>
      <c r="C139" s="62" t="n"/>
      <c r="D139" s="60" t="n">
        <v>1290606.81</v>
      </c>
    </row>
    <row r="140">
      <c r="A140" s="58" t="n"/>
      <c r="B140" s="59" t="inlineStr">
        <is>
          <t>71</t>
        </is>
      </c>
      <c r="C140" s="62" t="n"/>
      <c r="D140" s="60" t="n">
        <v>103500</v>
      </c>
    </row>
    <row r="141">
      <c r="A141" s="58" t="n"/>
      <c r="B141" s="61" t="inlineStr">
        <is>
          <t>71.01</t>
        </is>
      </c>
      <c r="C141" s="62" t="n"/>
      <c r="D141" s="60" t="n">
        <v>103500</v>
      </c>
    </row>
    <row r="142">
      <c r="A142" s="58" t="n"/>
      <c r="B142" s="59" t="inlineStr">
        <is>
          <t>73</t>
        </is>
      </c>
      <c r="C142" s="62" t="n"/>
      <c r="D142" s="60" t="n">
        <v>800000</v>
      </c>
    </row>
    <row r="143">
      <c r="A143" s="58" t="n"/>
      <c r="B143" s="61" t="inlineStr">
        <is>
          <t>73.01</t>
        </is>
      </c>
      <c r="C143" s="62" t="n"/>
      <c r="D143" s="60" t="n">
        <v>800000</v>
      </c>
    </row>
    <row r="144">
      <c r="A144" s="58" t="n"/>
      <c r="B144" s="59" t="inlineStr">
        <is>
          <t>76</t>
        </is>
      </c>
      <c r="C144" s="60" t="n">
        <v>44600.37</v>
      </c>
      <c r="D144" s="60" t="n">
        <v>3849515.05</v>
      </c>
    </row>
    <row r="145">
      <c r="A145" s="58" t="n"/>
      <c r="B145" s="61" t="inlineStr">
        <is>
          <t>76.10</t>
        </is>
      </c>
      <c r="C145" s="60" t="n">
        <v>44600.37</v>
      </c>
      <c r="D145" s="60" t="n">
        <v>3849515.05</v>
      </c>
    </row>
    <row r="146">
      <c r="A146" s="58" t="n"/>
      <c r="B146" s="59" t="inlineStr">
        <is>
          <t>84</t>
        </is>
      </c>
      <c r="C146" s="62" t="n"/>
      <c r="D146" s="60" t="n">
        <v>56223</v>
      </c>
    </row>
    <row r="147">
      <c r="A147" s="58" t="n"/>
      <c r="B147" s="61" t="inlineStr">
        <is>
          <t>84.01</t>
        </is>
      </c>
      <c r="C147" s="62" t="n"/>
      <c r="D147" s="60" t="n">
        <v>56223</v>
      </c>
    </row>
    <row r="148">
      <c r="A148" s="58" t="n"/>
      <c r="B148" s="59" t="inlineStr">
        <is>
          <t>91</t>
        </is>
      </c>
      <c r="C148" s="60" t="n">
        <v>122483.81</v>
      </c>
      <c r="D148" s="60" t="n">
        <v>67565</v>
      </c>
    </row>
    <row r="149">
      <c r="A149" s="58" t="n"/>
      <c r="B149" s="61" t="inlineStr">
        <is>
          <t>91.01</t>
        </is>
      </c>
      <c r="C149" s="60" t="n">
        <v>122483.81</v>
      </c>
      <c r="D149" s="62" t="n"/>
    </row>
    <row r="150">
      <c r="A150" s="58" t="n"/>
      <c r="B150" s="61" t="inlineStr">
        <is>
          <t>91.02</t>
        </is>
      </c>
      <c r="C150" s="62" t="n"/>
      <c r="D150" s="60" t="n">
        <v>67565</v>
      </c>
    </row>
    <row r="151">
      <c r="A151" s="63" t="n"/>
      <c r="B151" s="55" t="inlineStr">
        <is>
          <t>Оборот</t>
        </is>
      </c>
      <c r="C151" s="56" t="n">
        <v>198677170</v>
      </c>
      <c r="D151" s="56" t="n">
        <v>199817388.08</v>
      </c>
    </row>
    <row r="152">
      <c r="A152" s="63" t="n"/>
      <c r="B152" s="55" t="inlineStr">
        <is>
          <t>Конечное сальдо</t>
        </is>
      </c>
      <c r="C152" s="56" t="n">
        <v>474178.11</v>
      </c>
      <c r="D152" s="57" t="n"/>
    </row>
    <row r="153" ht="48" customHeight="1">
      <c r="A153" s="55" t="inlineStr">
        <is>
          <t>Обороты за Июнь 26</t>
        </is>
      </c>
      <c r="B153" s="55" t="inlineStr">
        <is>
          <t>Начальное сальдо</t>
        </is>
      </c>
      <c r="C153" s="56" t="n">
        <v>474178.11</v>
      </c>
      <c r="D153" s="57" t="n"/>
    </row>
    <row r="154">
      <c r="A154" s="58" t="n"/>
      <c r="B154" s="59" t="inlineStr">
        <is>
          <t>55</t>
        </is>
      </c>
      <c r="C154" s="60" t="n">
        <v>152185344.36</v>
      </c>
      <c r="D154" s="60" t="n">
        <v>144067112.22</v>
      </c>
    </row>
    <row r="155">
      <c r="A155" s="58" t="n"/>
      <c r="B155" s="61" t="inlineStr">
        <is>
          <t>55.03</t>
        </is>
      </c>
      <c r="C155" s="60" t="n">
        <v>152185344.36</v>
      </c>
      <c r="D155" s="60" t="n">
        <v>144067112.22</v>
      </c>
    </row>
    <row r="156">
      <c r="A156" s="58" t="n"/>
      <c r="B156" s="59" t="inlineStr">
        <is>
          <t>57</t>
        </is>
      </c>
      <c r="C156" s="60" t="n">
        <v>9070783.720000001</v>
      </c>
      <c r="D156" s="60" t="n">
        <v>13920783.72</v>
      </c>
    </row>
    <row r="157">
      <c r="A157" s="58" t="n"/>
      <c r="B157" s="61" t="inlineStr">
        <is>
          <t>57.01</t>
        </is>
      </c>
      <c r="C157" s="60" t="n">
        <v>9070783.720000001</v>
      </c>
      <c r="D157" s="60" t="n">
        <v>13920783.72</v>
      </c>
    </row>
    <row r="158">
      <c r="A158" s="58" t="n"/>
      <c r="B158" s="59" t="inlineStr">
        <is>
          <t>58</t>
        </is>
      </c>
      <c r="C158" s="62" t="n"/>
      <c r="D158" s="60" t="n">
        <v>700000</v>
      </c>
    </row>
    <row r="159">
      <c r="A159" s="58" t="n"/>
      <c r="B159" s="61" t="inlineStr">
        <is>
          <t>58.03</t>
        </is>
      </c>
      <c r="C159" s="62" t="n"/>
      <c r="D159" s="60" t="n">
        <v>700000</v>
      </c>
    </row>
    <row r="160">
      <c r="A160" s="58" t="n"/>
      <c r="B160" s="59" t="inlineStr">
        <is>
          <t>60</t>
        </is>
      </c>
      <c r="C160" s="60" t="n">
        <v>92974</v>
      </c>
      <c r="D160" s="60" t="n">
        <v>3965614.24</v>
      </c>
    </row>
    <row r="161">
      <c r="A161" s="58" t="n"/>
      <c r="B161" s="61" t="inlineStr">
        <is>
          <t>60.01</t>
        </is>
      </c>
      <c r="C161" s="60" t="n">
        <v>79200</v>
      </c>
      <c r="D161" s="60" t="n">
        <v>348419.76</v>
      </c>
    </row>
    <row r="162">
      <c r="A162" s="58" t="n"/>
      <c r="B162" s="61" t="inlineStr">
        <is>
          <t>60.02</t>
        </is>
      </c>
      <c r="C162" s="60" t="n">
        <v>13774</v>
      </c>
      <c r="D162" s="60" t="n">
        <v>3617194.48</v>
      </c>
    </row>
    <row r="163">
      <c r="A163" s="58" t="n"/>
      <c r="B163" s="59" t="inlineStr">
        <is>
          <t>62</t>
        </is>
      </c>
      <c r="C163" s="60" t="n">
        <v>13064721.08</v>
      </c>
      <c r="D163" s="62" t="n"/>
    </row>
    <row r="164">
      <c r="A164" s="58" t="n"/>
      <c r="B164" s="61" t="inlineStr">
        <is>
          <t>62.01</t>
        </is>
      </c>
      <c r="C164" s="60" t="n">
        <v>13047697.24</v>
      </c>
      <c r="D164" s="62" t="n"/>
    </row>
    <row r="165">
      <c r="A165" s="58" t="n"/>
      <c r="B165" s="61" t="inlineStr">
        <is>
          <t>62.02</t>
        </is>
      </c>
      <c r="C165" s="60" t="n">
        <v>17023.84</v>
      </c>
      <c r="D165" s="62" t="n"/>
    </row>
    <row r="166">
      <c r="A166" s="58" t="n"/>
      <c r="B166" s="59" t="inlineStr">
        <is>
          <t>68</t>
        </is>
      </c>
      <c r="C166" s="62" t="n"/>
      <c r="D166" s="60" t="n">
        <v>3729454.64</v>
      </c>
    </row>
    <row r="167">
      <c r="A167" s="58" t="n"/>
      <c r="B167" s="61" t="inlineStr">
        <is>
          <t>68.10</t>
        </is>
      </c>
      <c r="C167" s="62" t="n"/>
      <c r="D167" s="60" t="n">
        <v>11341</v>
      </c>
    </row>
    <row r="168">
      <c r="A168" s="58" t="n"/>
      <c r="B168" s="61" t="inlineStr">
        <is>
          <t>68.90</t>
        </is>
      </c>
      <c r="C168" s="62" t="n"/>
      <c r="D168" s="60" t="n">
        <v>3718113.64</v>
      </c>
    </row>
    <row r="169">
      <c r="A169" s="58" t="n"/>
      <c r="B169" s="59" t="inlineStr">
        <is>
          <t>69</t>
        </is>
      </c>
      <c r="C169" s="62" t="n"/>
      <c r="D169" s="60" t="n">
        <v>7955.06</v>
      </c>
    </row>
    <row r="170">
      <c r="A170" s="58" t="n"/>
      <c r="B170" s="61" t="inlineStr">
        <is>
          <t>69.11</t>
        </is>
      </c>
      <c r="C170" s="62" t="n"/>
      <c r="D170" s="60" t="n">
        <v>7955.06</v>
      </c>
    </row>
    <row r="171">
      <c r="A171" s="58" t="n"/>
      <c r="B171" s="59" t="inlineStr">
        <is>
          <t>70</t>
        </is>
      </c>
      <c r="C171" s="62" t="n"/>
      <c r="D171" s="60" t="n">
        <v>1379987.41</v>
      </c>
    </row>
    <row r="172">
      <c r="A172" s="58" t="n"/>
      <c r="B172" s="59" t="inlineStr">
        <is>
          <t>71</t>
        </is>
      </c>
      <c r="C172" s="60" t="n">
        <v>10000</v>
      </c>
      <c r="D172" s="60" t="n">
        <v>72500</v>
      </c>
    </row>
    <row r="173">
      <c r="A173" s="58" t="n"/>
      <c r="B173" s="61" t="inlineStr">
        <is>
          <t>71.01</t>
        </is>
      </c>
      <c r="C173" s="60" t="n">
        <v>10000</v>
      </c>
      <c r="D173" s="60" t="n">
        <v>72500</v>
      </c>
    </row>
    <row r="174">
      <c r="A174" s="58" t="n"/>
      <c r="B174" s="59" t="inlineStr">
        <is>
          <t>76</t>
        </is>
      </c>
      <c r="C174" s="62" t="n"/>
      <c r="D174" s="60" t="n">
        <v>3830055</v>
      </c>
    </row>
    <row r="175">
      <c r="A175" s="58" t="n"/>
      <c r="B175" s="61" t="inlineStr">
        <is>
          <t>76.10</t>
        </is>
      </c>
      <c r="C175" s="62" t="n"/>
      <c r="D175" s="60" t="n">
        <v>3830055</v>
      </c>
    </row>
    <row r="176">
      <c r="A176" s="58" t="n"/>
      <c r="B176" s="59" t="inlineStr">
        <is>
          <t>84</t>
        </is>
      </c>
      <c r="C176" s="62" t="n"/>
      <c r="D176" s="60" t="n">
        <v>1908842</v>
      </c>
    </row>
    <row r="177">
      <c r="A177" s="58" t="n"/>
      <c r="B177" s="61" t="inlineStr">
        <is>
          <t>84.01</t>
        </is>
      </c>
      <c r="C177" s="62" t="n"/>
      <c r="D177" s="60" t="n">
        <v>1908842</v>
      </c>
    </row>
    <row r="178">
      <c r="A178" s="58" t="n"/>
      <c r="B178" s="59" t="inlineStr">
        <is>
          <t>91</t>
        </is>
      </c>
      <c r="C178" s="60" t="n">
        <v>84513.16</v>
      </c>
      <c r="D178" s="60" t="n">
        <v>139617.61</v>
      </c>
    </row>
    <row r="179">
      <c r="A179" s="58" t="n"/>
      <c r="B179" s="61" t="inlineStr">
        <is>
          <t>91.01</t>
        </is>
      </c>
      <c r="C179" s="60" t="n">
        <v>84513.16</v>
      </c>
      <c r="D179" s="62" t="n"/>
    </row>
    <row r="180">
      <c r="A180" s="58" t="n"/>
      <c r="B180" s="61" t="inlineStr">
        <is>
          <t>91.02</t>
        </is>
      </c>
      <c r="C180" s="62" t="n"/>
      <c r="D180" s="60" t="n">
        <v>139617.61</v>
      </c>
    </row>
    <row r="181">
      <c r="A181" s="63" t="n"/>
      <c r="B181" s="55" t="inlineStr">
        <is>
          <t>Оборот</t>
        </is>
      </c>
      <c r="C181" s="56" t="n">
        <v>174508336.32</v>
      </c>
      <c r="D181" s="56" t="n">
        <v>173721921.9</v>
      </c>
    </row>
    <row r="182">
      <c r="A182" s="63" t="n"/>
      <c r="B182" s="55" t="inlineStr">
        <is>
          <t>Конечное сальдо</t>
        </is>
      </c>
      <c r="C182" s="56" t="n">
        <v>1260592.53</v>
      </c>
      <c r="D182" s="57" t="n"/>
    </row>
    <row r="183" ht="48" customHeight="1">
      <c r="A183" s="55" t="inlineStr">
        <is>
          <t>Обороты за Июль 26</t>
        </is>
      </c>
      <c r="B183" s="55" t="inlineStr">
        <is>
          <t>Начальное сальдо</t>
        </is>
      </c>
      <c r="C183" s="56" t="n">
        <v>1260592.53</v>
      </c>
      <c r="D183" s="57" t="n"/>
    </row>
    <row r="184">
      <c r="A184" s="58" t="n"/>
      <c r="B184" s="59" t="inlineStr">
        <is>
          <t>55</t>
        </is>
      </c>
      <c r="C184" s="60" t="n">
        <v>115353963.21</v>
      </c>
      <c r="D184" s="60" t="n">
        <v>117776233.28</v>
      </c>
    </row>
    <row r="185">
      <c r="A185" s="58" t="n"/>
      <c r="B185" s="61" t="inlineStr">
        <is>
          <t>55.03</t>
        </is>
      </c>
      <c r="C185" s="60" t="n">
        <v>115353963.21</v>
      </c>
      <c r="D185" s="60" t="n">
        <v>117776233.28</v>
      </c>
    </row>
    <row r="186">
      <c r="A186" s="58" t="n"/>
      <c r="B186" s="59" t="inlineStr">
        <is>
          <t>57</t>
        </is>
      </c>
      <c r="C186" s="60" t="n">
        <v>10915000</v>
      </c>
      <c r="D186" s="60" t="n">
        <v>10894000</v>
      </c>
    </row>
    <row r="187">
      <c r="A187" s="58" t="n"/>
      <c r="B187" s="61" t="inlineStr">
        <is>
          <t>57.01</t>
        </is>
      </c>
      <c r="C187" s="60" t="n">
        <v>10894000</v>
      </c>
      <c r="D187" s="60" t="n">
        <v>10894000</v>
      </c>
    </row>
    <row r="188">
      <c r="A188" s="58" t="n"/>
      <c r="B188" s="61" t="inlineStr">
        <is>
          <t>57.03</t>
        </is>
      </c>
      <c r="C188" s="60" t="n">
        <v>21000</v>
      </c>
      <c r="D188" s="62" t="n"/>
    </row>
    <row r="189">
      <c r="A189" s="58" t="n"/>
      <c r="B189" s="59" t="inlineStr">
        <is>
          <t>58</t>
        </is>
      </c>
      <c r="C189" s="60" t="n">
        <v>100000</v>
      </c>
      <c r="D189" s="62" t="n"/>
    </row>
    <row r="190">
      <c r="A190" s="58" t="n"/>
      <c r="B190" s="61" t="inlineStr">
        <is>
          <t>58.03</t>
        </is>
      </c>
      <c r="C190" s="60" t="n">
        <v>100000</v>
      </c>
      <c r="D190" s="62" t="n"/>
    </row>
    <row r="191">
      <c r="A191" s="58" t="n"/>
      <c r="B191" s="59" t="inlineStr">
        <is>
          <t>60</t>
        </is>
      </c>
      <c r="C191" s="60" t="n">
        <v>85403</v>
      </c>
      <c r="D191" s="60" t="n">
        <v>2583845.82</v>
      </c>
    </row>
    <row r="192">
      <c r="A192" s="58" t="n"/>
      <c r="B192" s="61" t="inlineStr">
        <is>
          <t>60.01</t>
        </is>
      </c>
      <c r="C192" s="62" t="n"/>
      <c r="D192" s="60" t="n">
        <v>710821.33</v>
      </c>
    </row>
    <row r="193">
      <c r="A193" s="58" t="n"/>
      <c r="B193" s="61" t="inlineStr">
        <is>
          <t>60.02</t>
        </is>
      </c>
      <c r="C193" s="60" t="n">
        <v>85403</v>
      </c>
      <c r="D193" s="60" t="n">
        <v>1873024.49</v>
      </c>
    </row>
    <row r="194">
      <c r="A194" s="58" t="n"/>
      <c r="B194" s="59" t="inlineStr">
        <is>
          <t>62</t>
        </is>
      </c>
      <c r="C194" s="60" t="n">
        <v>18263352.22</v>
      </c>
      <c r="D194" s="62" t="n"/>
    </row>
    <row r="195">
      <c r="A195" s="58" t="n"/>
      <c r="B195" s="61" t="inlineStr">
        <is>
          <t>62.01</t>
        </is>
      </c>
      <c r="C195" s="60" t="n">
        <v>18260912.22</v>
      </c>
      <c r="D195" s="62" t="n"/>
    </row>
    <row r="196">
      <c r="A196" s="58" t="n"/>
      <c r="B196" s="61" t="inlineStr">
        <is>
          <t>62.02</t>
        </is>
      </c>
      <c r="C196" s="60" t="n">
        <v>2440</v>
      </c>
      <c r="D196" s="62" t="n"/>
    </row>
    <row r="197">
      <c r="A197" s="58" t="n"/>
      <c r="B197" s="59" t="inlineStr">
        <is>
          <t>68</t>
        </is>
      </c>
      <c r="C197" s="62" t="n"/>
      <c r="D197" s="60" t="n">
        <v>3518916.87</v>
      </c>
    </row>
    <row r="198">
      <c r="A198" s="58" t="n"/>
      <c r="B198" s="61" t="inlineStr">
        <is>
          <t>68.90</t>
        </is>
      </c>
      <c r="C198" s="62" t="n"/>
      <c r="D198" s="60" t="n">
        <v>3518916.87</v>
      </c>
    </row>
    <row r="199">
      <c r="A199" s="58" t="n"/>
      <c r="B199" s="59" t="inlineStr">
        <is>
          <t>69</t>
        </is>
      </c>
      <c r="C199" s="62" t="n"/>
      <c r="D199" s="60" t="n">
        <v>7369.09</v>
      </c>
    </row>
    <row r="200">
      <c r="A200" s="58" t="n"/>
      <c r="B200" s="61" t="inlineStr">
        <is>
          <t>69.11</t>
        </is>
      </c>
      <c r="C200" s="62" t="n"/>
      <c r="D200" s="60" t="n">
        <v>7369.09</v>
      </c>
    </row>
    <row r="201">
      <c r="A201" s="58" t="n"/>
      <c r="B201" s="59" t="inlineStr">
        <is>
          <t>70</t>
        </is>
      </c>
      <c r="C201" s="62" t="n"/>
      <c r="D201" s="60" t="n">
        <v>1240634.55</v>
      </c>
    </row>
    <row r="202">
      <c r="A202" s="58" t="n"/>
      <c r="B202" s="59" t="inlineStr">
        <is>
          <t>71</t>
        </is>
      </c>
      <c r="C202" s="62" t="n"/>
      <c r="D202" s="60" t="n">
        <v>62500</v>
      </c>
    </row>
    <row r="203">
      <c r="A203" s="58" t="n"/>
      <c r="B203" s="61" t="inlineStr">
        <is>
          <t>71.01</t>
        </is>
      </c>
      <c r="C203" s="62" t="n"/>
      <c r="D203" s="60" t="n">
        <v>62500</v>
      </c>
    </row>
    <row r="204">
      <c r="A204" s="58" t="n"/>
      <c r="B204" s="59" t="inlineStr">
        <is>
          <t>76</t>
        </is>
      </c>
      <c r="C204" s="62" t="n"/>
      <c r="D204" s="60" t="n">
        <v>4728487.97</v>
      </c>
    </row>
    <row r="205">
      <c r="A205" s="58" t="n"/>
      <c r="B205" s="61" t="inlineStr">
        <is>
          <t>76.09</t>
        </is>
      </c>
      <c r="C205" s="62" t="n"/>
      <c r="D205" s="60" t="n">
        <v>638695.37</v>
      </c>
    </row>
    <row r="206">
      <c r="A206" s="58" t="n"/>
      <c r="B206" s="61" t="inlineStr">
        <is>
          <t>76.10</t>
        </is>
      </c>
      <c r="C206" s="62" t="n"/>
      <c r="D206" s="60" t="n">
        <v>3924724.22</v>
      </c>
    </row>
    <row r="207">
      <c r="A207" s="58" t="n"/>
      <c r="B207" s="61" t="inlineStr">
        <is>
          <t>76.16</t>
        </is>
      </c>
      <c r="C207" s="62" t="n"/>
      <c r="D207" s="60" t="n">
        <v>165068.38</v>
      </c>
    </row>
    <row r="208">
      <c r="A208" s="58" t="n"/>
      <c r="B208" s="59" t="inlineStr">
        <is>
          <t>84</t>
        </is>
      </c>
      <c r="C208" s="62" t="n"/>
      <c r="D208" s="60" t="n">
        <v>3769058</v>
      </c>
    </row>
    <row r="209">
      <c r="A209" s="58" t="n"/>
      <c r="B209" s="61" t="inlineStr">
        <is>
          <t>84.01</t>
        </is>
      </c>
      <c r="C209" s="62" t="n"/>
      <c r="D209" s="60" t="n">
        <v>3769058</v>
      </c>
    </row>
    <row r="210">
      <c r="A210" s="58" t="n"/>
      <c r="B210" s="59" t="inlineStr">
        <is>
          <t>91</t>
        </is>
      </c>
      <c r="C210" s="60" t="n">
        <v>44671.91</v>
      </c>
      <c r="D210" s="60" t="n">
        <v>116312</v>
      </c>
    </row>
    <row r="211">
      <c r="A211" s="58" t="n"/>
      <c r="B211" s="61" t="inlineStr">
        <is>
          <t>91.01</t>
        </is>
      </c>
      <c r="C211" s="60" t="n">
        <v>44671.91</v>
      </c>
      <c r="D211" s="62" t="n"/>
    </row>
    <row r="212">
      <c r="A212" s="58" t="n"/>
      <c r="B212" s="61" t="inlineStr">
        <is>
          <t>91.02</t>
        </is>
      </c>
      <c r="C212" s="62" t="n"/>
      <c r="D212" s="60" t="n">
        <v>116312</v>
      </c>
    </row>
    <row r="213">
      <c r="A213" s="63" t="n"/>
      <c r="B213" s="55" t="inlineStr">
        <is>
          <t>Оборот</t>
        </is>
      </c>
      <c r="C213" s="56" t="n">
        <v>144762390.34</v>
      </c>
      <c r="D213" s="56" t="n">
        <v>144697357.58</v>
      </c>
    </row>
    <row r="214">
      <c r="A214" s="63" t="n"/>
      <c r="B214" s="55" t="inlineStr">
        <is>
          <t>Конечное сальдо</t>
        </is>
      </c>
      <c r="C214" s="56" t="n">
        <v>1325625.29</v>
      </c>
      <c r="D214" s="57" t="n"/>
    </row>
    <row r="215" ht="48" customHeight="1">
      <c r="A215" s="55" t="inlineStr">
        <is>
          <t>Обороты за Август 26</t>
        </is>
      </c>
      <c r="B215" s="55" t="inlineStr">
        <is>
          <t>Начальное сальдо</t>
        </is>
      </c>
      <c r="C215" s="56" t="n">
        <v>1325625.29</v>
      </c>
      <c r="D215" s="57" t="n"/>
    </row>
    <row r="216">
      <c r="A216" s="58" t="n"/>
      <c r="B216" s="59" t="inlineStr">
        <is>
          <t>55</t>
        </is>
      </c>
      <c r="C216" s="60" t="n">
        <v>138998980.38</v>
      </c>
      <c r="D216" s="60" t="n">
        <v>140636392.1</v>
      </c>
    </row>
    <row r="217">
      <c r="A217" s="58" t="n"/>
      <c r="B217" s="61" t="inlineStr">
        <is>
          <t>55.03</t>
        </is>
      </c>
      <c r="C217" s="60" t="n">
        <v>138998980.38</v>
      </c>
      <c r="D217" s="60" t="n">
        <v>140636392.1</v>
      </c>
    </row>
    <row r="218">
      <c r="A218" s="58" t="n"/>
      <c r="B218" s="59" t="inlineStr">
        <is>
          <t>57</t>
        </is>
      </c>
      <c r="C218" s="60" t="n">
        <v>7613335</v>
      </c>
      <c r="D218" s="60" t="n">
        <v>7613335</v>
      </c>
    </row>
    <row r="219">
      <c r="A219" s="58" t="n"/>
      <c r="B219" s="61" t="inlineStr">
        <is>
          <t>57.01</t>
        </is>
      </c>
      <c r="C219" s="60" t="n">
        <v>7613335</v>
      </c>
      <c r="D219" s="60" t="n">
        <v>7613335</v>
      </c>
    </row>
    <row r="220">
      <c r="A220" s="58" t="n"/>
      <c r="B220" s="59" t="inlineStr">
        <is>
          <t>60</t>
        </is>
      </c>
      <c r="C220" s="60" t="n">
        <v>1358</v>
      </c>
      <c r="D220" s="60" t="n">
        <v>2170215.57</v>
      </c>
    </row>
    <row r="221">
      <c r="A221" s="58" t="n"/>
      <c r="B221" s="61" t="inlineStr">
        <is>
          <t>60.01</t>
        </is>
      </c>
      <c r="C221" s="62" t="n"/>
      <c r="D221" s="60" t="n">
        <v>499616</v>
      </c>
    </row>
    <row r="222">
      <c r="A222" s="58" t="n"/>
      <c r="B222" s="61" t="inlineStr">
        <is>
          <t>60.02</t>
        </is>
      </c>
      <c r="C222" s="60" t="n">
        <v>1358</v>
      </c>
      <c r="D222" s="60" t="n">
        <v>1670599.57</v>
      </c>
    </row>
    <row r="223">
      <c r="A223" s="58" t="n"/>
      <c r="B223" s="59" t="inlineStr">
        <is>
          <t>62</t>
        </is>
      </c>
      <c r="C223" s="60" t="n">
        <v>17179651.17</v>
      </c>
      <c r="D223" s="62" t="n"/>
    </row>
    <row r="224">
      <c r="A224" s="58" t="n"/>
      <c r="B224" s="61" t="inlineStr">
        <is>
          <t>62.01</t>
        </is>
      </c>
      <c r="C224" s="60" t="n">
        <v>17179651.17</v>
      </c>
      <c r="D224" s="62" t="n"/>
    </row>
    <row r="225">
      <c r="A225" s="58" t="n"/>
      <c r="B225" s="59" t="inlineStr">
        <is>
          <t>68</t>
        </is>
      </c>
      <c r="C225" s="62" t="n"/>
      <c r="D225" s="60" t="n">
        <v>3143558.57</v>
      </c>
    </row>
    <row r="226">
      <c r="A226" s="58" t="n"/>
      <c r="B226" s="61" t="inlineStr">
        <is>
          <t>68.90</t>
        </is>
      </c>
      <c r="C226" s="62" t="n"/>
      <c r="D226" s="60" t="n">
        <v>3143558.57</v>
      </c>
    </row>
    <row r="227">
      <c r="A227" s="58" t="n"/>
      <c r="B227" s="59" t="inlineStr">
        <is>
          <t>69</t>
        </is>
      </c>
      <c r="C227" s="62" t="n"/>
      <c r="D227" s="60" t="n">
        <v>7903.86</v>
      </c>
    </row>
    <row r="228">
      <c r="A228" s="58" t="n"/>
      <c r="B228" s="61" t="inlineStr">
        <is>
          <t>69.11</t>
        </is>
      </c>
      <c r="C228" s="62" t="n"/>
      <c r="D228" s="60" t="n">
        <v>7903.86</v>
      </c>
    </row>
    <row r="229">
      <c r="A229" s="58" t="n"/>
      <c r="B229" s="59" t="inlineStr">
        <is>
          <t>70</t>
        </is>
      </c>
      <c r="C229" s="62" t="n"/>
      <c r="D229" s="60" t="n">
        <v>1376001.76</v>
      </c>
    </row>
    <row r="230">
      <c r="A230" s="58" t="n"/>
      <c r="B230" s="59" t="inlineStr">
        <is>
          <t>71</t>
        </is>
      </c>
      <c r="C230" s="62" t="n"/>
      <c r="D230" s="60" t="n">
        <v>113500</v>
      </c>
    </row>
    <row r="231">
      <c r="A231" s="58" t="n"/>
      <c r="B231" s="61" t="inlineStr">
        <is>
          <t>71.01</t>
        </is>
      </c>
      <c r="C231" s="62" t="n"/>
      <c r="D231" s="60" t="n">
        <v>113500</v>
      </c>
    </row>
    <row r="232">
      <c r="A232" s="58" t="n"/>
      <c r="B232" s="59" t="inlineStr">
        <is>
          <t>76</t>
        </is>
      </c>
      <c r="C232" s="60" t="n">
        <v>3000</v>
      </c>
      <c r="D232" s="60" t="n">
        <v>3799440.93</v>
      </c>
    </row>
    <row r="233">
      <c r="A233" s="58" t="n"/>
      <c r="B233" s="61" t="inlineStr">
        <is>
          <t>76.09</t>
        </is>
      </c>
      <c r="C233" s="62" t="n"/>
      <c r="D233" s="60" t="n">
        <v>38084.93</v>
      </c>
    </row>
    <row r="234">
      <c r="A234" s="58" t="n"/>
      <c r="B234" s="61" t="inlineStr">
        <is>
          <t>76.10</t>
        </is>
      </c>
      <c r="C234" s="60" t="n">
        <v>3000</v>
      </c>
      <c r="D234" s="60" t="n">
        <v>3759856</v>
      </c>
    </row>
    <row r="235">
      <c r="A235" s="58" t="n"/>
      <c r="B235" s="61" t="inlineStr">
        <is>
          <t>76.41</t>
        </is>
      </c>
      <c r="C235" s="62" t="n"/>
      <c r="D235" s="60" t="n">
        <v>1500</v>
      </c>
    </row>
    <row r="236">
      <c r="A236" s="58" t="n"/>
      <c r="B236" s="59" t="inlineStr">
        <is>
          <t>84</t>
        </is>
      </c>
      <c r="C236" s="62" t="n"/>
      <c r="D236" s="60" t="n">
        <v>5722416.45</v>
      </c>
    </row>
    <row r="237">
      <c r="A237" s="58" t="n"/>
      <c r="B237" s="61" t="inlineStr">
        <is>
          <t>84.01</t>
        </is>
      </c>
      <c r="C237" s="62" t="n"/>
      <c r="D237" s="60" t="n">
        <v>5722416.45</v>
      </c>
    </row>
    <row r="238">
      <c r="A238" s="58" t="n"/>
      <c r="B238" s="59" t="inlineStr">
        <is>
          <t>91</t>
        </is>
      </c>
      <c r="C238" s="60" t="n">
        <v>58266.93</v>
      </c>
      <c r="D238" s="60" t="n">
        <v>76243.82000000001</v>
      </c>
    </row>
    <row r="239">
      <c r="A239" s="58" t="n"/>
      <c r="B239" s="61" t="inlineStr">
        <is>
          <t>91.01</t>
        </is>
      </c>
      <c r="C239" s="60" t="n">
        <v>58266.93</v>
      </c>
      <c r="D239" s="62" t="n"/>
    </row>
    <row r="240">
      <c r="A240" s="58" t="n"/>
      <c r="B240" s="61" t="inlineStr">
        <is>
          <t>91.02</t>
        </is>
      </c>
      <c r="C240" s="62" t="n"/>
      <c r="D240" s="60" t="n">
        <v>76243.82000000001</v>
      </c>
    </row>
    <row r="241">
      <c r="A241" s="63" t="n"/>
      <c r="B241" s="55" t="inlineStr">
        <is>
          <t>Оборот</t>
        </is>
      </c>
      <c r="C241" s="56" t="n">
        <v>163854591.48</v>
      </c>
      <c r="D241" s="56" t="n">
        <v>164659008.06</v>
      </c>
    </row>
    <row r="242">
      <c r="A242" s="63" t="n"/>
      <c r="B242" s="55" t="inlineStr">
        <is>
          <t>Конечное сальдо</t>
        </is>
      </c>
      <c r="C242" s="56" t="n">
        <v>521208.71</v>
      </c>
      <c r="D242" s="57" t="n"/>
    </row>
    <row r="243" ht="48" customHeight="1">
      <c r="A243" s="55" t="inlineStr">
        <is>
          <t>Обороты за Сентябрь 26</t>
        </is>
      </c>
      <c r="B243" s="55" t="inlineStr">
        <is>
          <t>Начальное сальдо</t>
        </is>
      </c>
      <c r="C243" s="56" t="n">
        <v>521208.71</v>
      </c>
      <c r="D243" s="57" t="n"/>
    </row>
    <row r="244">
      <c r="A244" s="58" t="n"/>
      <c r="B244" s="59" t="inlineStr">
        <is>
          <t>55</t>
        </is>
      </c>
      <c r="C244" s="60" t="n">
        <v>167794330.34</v>
      </c>
      <c r="D244" s="60" t="n">
        <v>163734648.55</v>
      </c>
    </row>
    <row r="245">
      <c r="A245" s="58" t="n"/>
      <c r="B245" s="61" t="inlineStr">
        <is>
          <t>55.03</t>
        </is>
      </c>
      <c r="C245" s="60" t="n">
        <v>167794330.34</v>
      </c>
      <c r="D245" s="60" t="n">
        <v>163734648.55</v>
      </c>
    </row>
    <row r="246">
      <c r="A246" s="58" t="n"/>
      <c r="B246" s="59" t="inlineStr">
        <is>
          <t>57</t>
        </is>
      </c>
      <c r="C246" s="60" t="n">
        <v>10288172.48</v>
      </c>
      <c r="D246" s="60" t="n">
        <v>10338172.48</v>
      </c>
    </row>
    <row r="247">
      <c r="A247" s="58" t="n"/>
      <c r="B247" s="61" t="inlineStr">
        <is>
          <t>57.01</t>
        </is>
      </c>
      <c r="C247" s="60" t="n">
        <v>10288172.48</v>
      </c>
      <c r="D247" s="60" t="n">
        <v>10338172.48</v>
      </c>
    </row>
    <row r="248">
      <c r="A248" s="58" t="n"/>
      <c r="B248" s="59" t="inlineStr">
        <is>
          <t>60</t>
        </is>
      </c>
      <c r="C248" s="62" t="n"/>
      <c r="D248" s="60" t="n">
        <v>1559888.43</v>
      </c>
    </row>
    <row r="249">
      <c r="A249" s="58" t="n"/>
      <c r="B249" s="61" t="inlineStr">
        <is>
          <t>60.01</t>
        </is>
      </c>
      <c r="C249" s="62" t="n"/>
      <c r="D249" s="60" t="n">
        <v>654792.1899999999</v>
      </c>
    </row>
    <row r="250">
      <c r="A250" s="58" t="n"/>
      <c r="B250" s="61" t="inlineStr">
        <is>
          <t>60.02</t>
        </is>
      </c>
      <c r="C250" s="62" t="n"/>
      <c r="D250" s="60" t="n">
        <v>905096.24</v>
      </c>
    </row>
    <row r="251">
      <c r="A251" s="58" t="n"/>
      <c r="B251" s="59" t="inlineStr">
        <is>
          <t>62</t>
        </is>
      </c>
      <c r="C251" s="60" t="n">
        <v>16103011.07</v>
      </c>
      <c r="D251" s="62" t="n"/>
    </row>
    <row r="252">
      <c r="A252" s="58" t="n"/>
      <c r="B252" s="61" t="inlineStr">
        <is>
          <t>62.01</t>
        </is>
      </c>
      <c r="C252" s="60" t="n">
        <v>16103011.07</v>
      </c>
      <c r="D252" s="62" t="n"/>
    </row>
    <row r="253">
      <c r="A253" s="58" t="n"/>
      <c r="B253" s="59" t="inlineStr">
        <is>
          <t>68</t>
        </is>
      </c>
      <c r="C253" s="62" t="n"/>
      <c r="D253" s="60" t="n">
        <v>3186594.48</v>
      </c>
    </row>
    <row r="254">
      <c r="A254" s="58" t="n"/>
      <c r="B254" s="61" t="inlineStr">
        <is>
          <t>68.90</t>
        </is>
      </c>
      <c r="C254" s="62" t="n"/>
      <c r="D254" s="60" t="n">
        <v>3186594.48</v>
      </c>
    </row>
    <row r="255">
      <c r="A255" s="58" t="n"/>
      <c r="B255" s="59" t="inlineStr">
        <is>
          <t>69</t>
        </is>
      </c>
      <c r="C255" s="62" t="n"/>
      <c r="D255" s="60" t="n">
        <v>7843.93</v>
      </c>
    </row>
    <row r="256">
      <c r="A256" s="58" t="n"/>
      <c r="B256" s="61" t="inlineStr">
        <is>
          <t>69.11</t>
        </is>
      </c>
      <c r="C256" s="62" t="n"/>
      <c r="D256" s="60" t="n">
        <v>7843.93</v>
      </c>
    </row>
    <row r="257">
      <c r="A257" s="58" t="n"/>
      <c r="B257" s="59" t="inlineStr">
        <is>
          <t>70</t>
        </is>
      </c>
      <c r="C257" s="62" t="n"/>
      <c r="D257" s="60" t="n">
        <v>1486800.13</v>
      </c>
    </row>
    <row r="258">
      <c r="A258" s="58" t="n"/>
      <c r="B258" s="59" t="inlineStr">
        <is>
          <t>71</t>
        </is>
      </c>
      <c r="C258" s="62" t="n"/>
      <c r="D258" s="60" t="n">
        <v>73500</v>
      </c>
    </row>
    <row r="259">
      <c r="A259" s="58" t="n"/>
      <c r="B259" s="61" t="inlineStr">
        <is>
          <t>71.01</t>
        </is>
      </c>
      <c r="C259" s="62" t="n"/>
      <c r="D259" s="60" t="n">
        <v>73500</v>
      </c>
    </row>
    <row r="260">
      <c r="A260" s="58" t="n"/>
      <c r="B260" s="59" t="inlineStr">
        <is>
          <t>76</t>
        </is>
      </c>
      <c r="C260" s="62" t="n"/>
      <c r="D260" s="60" t="n">
        <v>3736554.7</v>
      </c>
    </row>
    <row r="261">
      <c r="A261" s="58" t="n"/>
      <c r="B261" s="61" t="inlineStr">
        <is>
          <t>76.09</t>
        </is>
      </c>
      <c r="C261" s="62" t="n"/>
      <c r="D261" s="60" t="n">
        <v>29423.48</v>
      </c>
    </row>
    <row r="262">
      <c r="A262" s="58" t="n"/>
      <c r="B262" s="61" t="inlineStr">
        <is>
          <t>76.10</t>
        </is>
      </c>
      <c r="C262" s="62" t="n"/>
      <c r="D262" s="60" t="n">
        <v>3704568.22</v>
      </c>
    </row>
    <row r="263">
      <c r="A263" s="58" t="n"/>
      <c r="B263" s="61" t="inlineStr">
        <is>
          <t>76.41</t>
        </is>
      </c>
      <c r="C263" s="62" t="n"/>
      <c r="D263" s="60" t="n">
        <v>2563</v>
      </c>
    </row>
    <row r="264">
      <c r="A264" s="58" t="n"/>
      <c r="B264" s="59" t="inlineStr">
        <is>
          <t>84</t>
        </is>
      </c>
      <c r="C264" s="62" t="n"/>
      <c r="D264" s="60" t="n">
        <v>6301021</v>
      </c>
    </row>
    <row r="265">
      <c r="A265" s="58" t="n"/>
      <c r="B265" s="61" t="inlineStr">
        <is>
          <t>84.01</t>
        </is>
      </c>
      <c r="C265" s="62" t="n"/>
      <c r="D265" s="60" t="n">
        <v>6301021</v>
      </c>
    </row>
    <row r="266">
      <c r="A266" s="58" t="n"/>
      <c r="B266" s="59" t="inlineStr">
        <is>
          <t>91</t>
        </is>
      </c>
      <c r="C266" s="60" t="n">
        <v>68357.44</v>
      </c>
      <c r="D266" s="60" t="n">
        <v>71650</v>
      </c>
    </row>
    <row r="267">
      <c r="A267" s="58" t="n"/>
      <c r="B267" s="61" t="inlineStr">
        <is>
          <t>91.01</t>
        </is>
      </c>
      <c r="C267" s="60" t="n">
        <v>68357.44</v>
      </c>
      <c r="D267" s="62" t="n"/>
    </row>
    <row r="268">
      <c r="A268" s="58" t="n"/>
      <c r="B268" s="61" t="inlineStr">
        <is>
          <t>91.02</t>
        </is>
      </c>
      <c r="C268" s="62" t="n"/>
      <c r="D268" s="60" t="n">
        <v>71650</v>
      </c>
    </row>
    <row r="269">
      <c r="A269" s="63" t="n"/>
      <c r="B269" s="55" t="inlineStr">
        <is>
          <t>Оборот</t>
        </is>
      </c>
      <c r="C269" s="56" t="n">
        <v>194253871.33</v>
      </c>
      <c r="D269" s="56" t="n">
        <v>190496673.7</v>
      </c>
    </row>
    <row r="270">
      <c r="A270" s="63" t="n"/>
      <c r="B270" s="55" t="inlineStr">
        <is>
          <t>Конечное сальдо</t>
        </is>
      </c>
      <c r="C270" s="56" t="n">
        <v>4278406.34</v>
      </c>
      <c r="D270" s="57" t="n"/>
    </row>
    <row r="271">
      <c r="A271" s="65" t="n"/>
      <c r="B271" s="66" t="inlineStr">
        <is>
          <t>Оборот</t>
        </is>
      </c>
      <c r="C271" s="67" t="n">
        <v>1897035398.24</v>
      </c>
      <c r="D271" s="67" t="n">
        <v>1893435570.36</v>
      </c>
    </row>
    <row r="272">
      <c r="A272" s="65" t="n"/>
      <c r="B272" s="66" t="inlineStr">
        <is>
          <t>Конечное сальдо</t>
        </is>
      </c>
      <c r="C272" s="67" t="n">
        <v>4278406.34</v>
      </c>
      <c r="D272" s="68" t="n"/>
    </row>
    <row r="273">
      <c r="A273" s="45" t="n"/>
      <c r="B273" s="45" t="n"/>
      <c r="C273" s="45" t="n"/>
      <c r="D273" s="45" t="n"/>
    </row>
    <row r="274">
      <c r="A274" s="45" t="n"/>
      <c r="B274" s="45" t="n"/>
      <c r="C274" s="45" t="n"/>
      <c r="D274" s="45" t="n"/>
    </row>
    <row r="275">
      <c r="A275" s="45" t="n"/>
      <c r="B275" s="45" t="n"/>
      <c r="C275" s="45" t="n"/>
      <c r="D275" s="45" t="n"/>
    </row>
    <row r="276">
      <c r="A276" s="45" t="n"/>
      <c r="B276" s="45" t="n"/>
      <c r="C276" s="45" t="n"/>
      <c r="D276" s="45" t="n"/>
    </row>
    <row r="277">
      <c r="A277" s="45" t="n"/>
      <c r="B277" s="45" t="n"/>
      <c r="C277" s="45" t="n"/>
      <c r="D277" s="45" t="n"/>
    </row>
    <row r="278">
      <c r="A278" s="45" t="n"/>
      <c r="B278" s="45" t="n"/>
      <c r="C278" s="45" t="n"/>
      <c r="D278" s="45" t="n"/>
    </row>
    <row r="279">
      <c r="A279" s="45" t="n"/>
      <c r="B279" s="45" t="n"/>
      <c r="C279" s="45" t="n"/>
      <c r="D279" s="45" t="n"/>
    </row>
    <row r="280">
      <c r="A280" s="45" t="n"/>
      <c r="B280" s="45" t="n"/>
      <c r="C280" s="45" t="n"/>
      <c r="D280" s="45" t="n"/>
    </row>
    <row r="281">
      <c r="A281" s="45" t="n"/>
      <c r="B281" s="45" t="n"/>
      <c r="C281" s="45" t="n"/>
      <c r="D281" s="45" t="n"/>
    </row>
    <row r="282">
      <c r="A282" s="45" t="n"/>
      <c r="B282" s="45" t="n"/>
      <c r="C282" s="45" t="n"/>
      <c r="D282" s="45" t="n"/>
    </row>
    <row r="283">
      <c r="A283" s="45" t="n"/>
      <c r="B283" s="45" t="n"/>
      <c r="C283" s="45" t="n"/>
      <c r="D283" s="45" t="n"/>
    </row>
    <row r="284">
      <c r="A284" s="45" t="n"/>
      <c r="B284" s="45" t="n"/>
      <c r="C284" s="45" t="n"/>
      <c r="D284" s="45" t="n"/>
    </row>
    <row r="285">
      <c r="A285" s="45" t="n"/>
      <c r="B285" s="45" t="n"/>
      <c r="C285" s="45" t="n"/>
      <c r="D285" s="45" t="n"/>
    </row>
    <row r="286">
      <c r="A286" s="45" t="n"/>
      <c r="B286" s="45" t="n"/>
      <c r="C286" s="45" t="n"/>
      <c r="D286" s="45" t="n"/>
    </row>
    <row r="287">
      <c r="A287" s="45" t="n"/>
      <c r="B287" s="45" t="n"/>
      <c r="C287" s="45" t="n"/>
      <c r="D287" s="45" t="n"/>
    </row>
    <row r="288">
      <c r="A288" s="45" t="n"/>
      <c r="B288" s="45" t="n"/>
      <c r="C288" s="45" t="n"/>
      <c r="D288" s="45" t="n"/>
    </row>
    <row r="289">
      <c r="A289" s="45" t="n"/>
      <c r="B289" s="45" t="n"/>
      <c r="C289" s="45" t="n"/>
      <c r="D289" s="45" t="n"/>
    </row>
    <row r="290">
      <c r="A290" s="45" t="n"/>
      <c r="B290" s="45" t="n"/>
      <c r="C290" s="45" t="n"/>
      <c r="D290" s="45" t="n"/>
    </row>
    <row r="291">
      <c r="A291" s="45" t="n"/>
      <c r="B291" s="45" t="n"/>
      <c r="C291" s="45" t="n"/>
      <c r="D291" s="45" t="n"/>
    </row>
    <row r="292">
      <c r="A292" s="45" t="n"/>
      <c r="B292" s="45" t="n"/>
      <c r="C292" s="45" t="n"/>
      <c r="D292" s="45" t="n"/>
    </row>
    <row r="293">
      <c r="A293" s="45" t="n"/>
      <c r="B293" s="45" t="n"/>
      <c r="C293" s="45" t="n"/>
      <c r="D293" s="45" t="n"/>
    </row>
    <row r="294">
      <c r="A294" s="45" t="n"/>
      <c r="B294" s="45" t="n"/>
      <c r="C294" s="45" t="n"/>
      <c r="D294" s="45" t="n"/>
    </row>
    <row r="295">
      <c r="A295" s="45" t="n"/>
      <c r="B295" s="45" t="n"/>
      <c r="C295" s="45" t="n"/>
      <c r="D295" s="45" t="n"/>
    </row>
    <row r="296">
      <c r="A296" s="45" t="n"/>
      <c r="B296" s="45" t="n"/>
      <c r="C296" s="45" t="n"/>
      <c r="D296" s="45" t="n"/>
    </row>
    <row r="297">
      <c r="A297" s="45" t="n"/>
      <c r="B297" s="45" t="n"/>
      <c r="C297" s="45" t="n"/>
      <c r="D297" s="45" t="n"/>
    </row>
    <row r="298">
      <c r="A298" s="45" t="n"/>
      <c r="B298" s="45" t="n"/>
      <c r="C298" s="45" t="n"/>
      <c r="D298" s="45" t="n"/>
    </row>
    <row r="299">
      <c r="A299" s="45" t="n"/>
      <c r="B299" s="45" t="n"/>
      <c r="C299" s="45" t="n"/>
      <c r="D299" s="45" t="n"/>
    </row>
    <row r="300">
      <c r="A300" s="45" t="n"/>
      <c r="B300" s="45" t="n"/>
      <c r="C300" s="45" t="n"/>
      <c r="D300" s="45" t="n"/>
    </row>
    <row r="301">
      <c r="A301" s="45" t="n"/>
      <c r="B301" s="45" t="n"/>
      <c r="C301" s="45" t="n"/>
      <c r="D301" s="45" t="n"/>
    </row>
    <row r="302">
      <c r="A302" s="45" t="n"/>
      <c r="B302" s="45" t="n"/>
      <c r="C302" s="45" t="n"/>
      <c r="D302" s="45" t="n"/>
    </row>
    <row r="303">
      <c r="A303" s="45" t="n"/>
      <c r="B303" s="45" t="n"/>
      <c r="C303" s="45" t="n"/>
      <c r="D303" s="45" t="n"/>
    </row>
    <row r="304">
      <c r="A304" s="45" t="n"/>
      <c r="B304" s="45" t="n"/>
      <c r="C304" s="45" t="n"/>
      <c r="D304" s="45" t="n"/>
    </row>
    <row r="305">
      <c r="A305" s="45" t="n"/>
      <c r="B305" s="45" t="n"/>
      <c r="C305" s="45" t="n"/>
      <c r="D305" s="45" t="n"/>
    </row>
    <row r="306">
      <c r="A306" s="45" t="n"/>
      <c r="B306" s="45" t="n"/>
      <c r="C306" s="45" t="n"/>
      <c r="D306" s="45" t="n"/>
    </row>
    <row r="307">
      <c r="A307" s="45" t="n"/>
      <c r="B307" s="45" t="n"/>
      <c r="C307" s="45" t="n"/>
      <c r="D307" s="45" t="n"/>
    </row>
    <row r="308">
      <c r="A308" s="45" t="n"/>
      <c r="B308" s="45" t="n"/>
      <c r="C308" s="45" t="n"/>
      <c r="D308" s="45" t="n"/>
    </row>
    <row r="309">
      <c r="A309" s="45" t="n"/>
      <c r="B309" s="45" t="n"/>
      <c r="C309" s="45" t="n"/>
      <c r="D309" s="45" t="n"/>
    </row>
    <row r="310">
      <c r="A310" s="45" t="n"/>
      <c r="B310" s="45" t="n"/>
      <c r="C310" s="45" t="n"/>
      <c r="D310" s="45" t="n"/>
    </row>
    <row r="311">
      <c r="A311" s="45" t="n"/>
      <c r="B311" s="45" t="n"/>
      <c r="C311" s="45" t="n"/>
      <c r="D311" s="45" t="n"/>
    </row>
    <row r="312">
      <c r="A312" s="45" t="n"/>
      <c r="B312" s="45" t="n"/>
      <c r="C312" s="45" t="n"/>
      <c r="D312" s="45" t="n"/>
    </row>
    <row r="313">
      <c r="A313" s="45" t="n"/>
      <c r="B313" s="45" t="n"/>
      <c r="C313" s="45" t="n"/>
      <c r="D313" s="45" t="n"/>
    </row>
    <row r="314">
      <c r="A314" s="45" t="n"/>
      <c r="B314" s="45" t="n"/>
      <c r="C314" s="45" t="n"/>
      <c r="D314" s="45" t="n"/>
    </row>
    <row r="315">
      <c r="A315" s="45" t="n"/>
      <c r="B315" s="45" t="n"/>
      <c r="C315" s="45" t="n"/>
      <c r="D315" s="45" t="n"/>
    </row>
    <row r="316">
      <c r="A316" s="45" t="n"/>
      <c r="B316" s="45" t="n"/>
      <c r="C316" s="45" t="n"/>
      <c r="D316" s="45" t="n"/>
    </row>
    <row r="317">
      <c r="A317" s="45" t="n"/>
      <c r="B317" s="45" t="n"/>
      <c r="C317" s="45" t="n"/>
      <c r="D317" s="45" t="n"/>
    </row>
    <row r="318">
      <c r="A318" s="45" t="n"/>
      <c r="B318" s="45" t="n"/>
      <c r="C318" s="45" t="n"/>
      <c r="D318" s="45" t="n"/>
    </row>
    <row r="319">
      <c r="A319" s="45" t="n"/>
      <c r="B319" s="45" t="n"/>
      <c r="C319" s="45" t="n"/>
      <c r="D319" s="45" t="n"/>
    </row>
    <row r="320">
      <c r="A320" s="45" t="n"/>
      <c r="B320" s="45" t="n"/>
      <c r="C320" s="45" t="n"/>
      <c r="D320" s="45" t="n"/>
    </row>
    <row r="321">
      <c r="A321" s="45" t="n"/>
      <c r="B321" s="45" t="n"/>
      <c r="C321" s="45" t="n"/>
      <c r="D321" s="45" t="n"/>
    </row>
    <row r="322">
      <c r="A322" s="45" t="n"/>
      <c r="B322" s="45" t="n"/>
      <c r="C322" s="45" t="n"/>
      <c r="D322" s="45" t="n"/>
    </row>
    <row r="323">
      <c r="A323" s="45" t="n"/>
      <c r="B323" s="45" t="n"/>
      <c r="C323" s="45" t="n"/>
      <c r="D323" s="45" t="n"/>
    </row>
    <row r="324">
      <c r="A324" s="45" t="n"/>
      <c r="B324" s="45" t="n"/>
      <c r="C324" s="45" t="n"/>
      <c r="D324" s="45" t="n"/>
    </row>
    <row r="325">
      <c r="A325" s="45" t="n"/>
      <c r="B325" s="45" t="n"/>
      <c r="C325" s="45" t="n"/>
      <c r="D325" s="45" t="n"/>
    </row>
    <row r="326">
      <c r="A326" s="45" t="n"/>
      <c r="B326" s="45" t="n"/>
      <c r="C326" s="45" t="n"/>
      <c r="D326" s="45" t="n"/>
    </row>
    <row r="327">
      <c r="A327" s="45" t="n"/>
      <c r="B327" s="45" t="n"/>
      <c r="C327" s="45" t="n"/>
      <c r="D327" s="45" t="n"/>
    </row>
    <row r="328">
      <c r="A328" s="45" t="n"/>
      <c r="B328" s="45" t="n"/>
      <c r="C328" s="45" t="n"/>
      <c r="D328" s="45" t="n"/>
    </row>
    <row r="329">
      <c r="A329" s="45" t="n"/>
      <c r="B329" s="45" t="n"/>
      <c r="C329" s="45" t="n"/>
      <c r="D329" s="45" t="n"/>
    </row>
    <row r="330">
      <c r="A330" s="45" t="n"/>
      <c r="B330" s="45" t="n"/>
      <c r="C330" s="45" t="n"/>
      <c r="D330" s="45" t="n"/>
    </row>
    <row r="331">
      <c r="A331" s="45" t="n"/>
      <c r="B331" s="45" t="n"/>
      <c r="C331" s="45" t="n"/>
      <c r="D331" s="45" t="n"/>
    </row>
    <row r="332">
      <c r="A332" s="45" t="n"/>
      <c r="B332" s="45" t="n"/>
      <c r="C332" s="45" t="n"/>
      <c r="D332" s="45" t="n"/>
    </row>
    <row r="333">
      <c r="A333" s="45" t="n"/>
      <c r="B333" s="45" t="n"/>
      <c r="C333" s="45" t="n"/>
      <c r="D333" s="45" t="n"/>
    </row>
    <row r="334">
      <c r="A334" s="45" t="n"/>
      <c r="B334" s="45" t="n"/>
      <c r="C334" s="45" t="n"/>
      <c r="D334" s="45" t="n"/>
    </row>
    <row r="335">
      <c r="A335" s="45" t="n"/>
      <c r="B335" s="45" t="n"/>
      <c r="C335" s="45" t="n"/>
      <c r="D335" s="45" t="n"/>
    </row>
    <row r="336">
      <c r="A336" s="45" t="n"/>
      <c r="B336" s="45" t="n"/>
      <c r="C336" s="45" t="n"/>
      <c r="D336" s="45" t="n"/>
    </row>
    <row r="337">
      <c r="A337" s="45" t="n"/>
      <c r="B337" s="45" t="n"/>
      <c r="C337" s="45" t="n"/>
      <c r="D337" s="45" t="n"/>
    </row>
    <row r="338">
      <c r="A338" s="45" t="n"/>
      <c r="B338" s="45" t="n"/>
      <c r="C338" s="45" t="n"/>
      <c r="D338" s="45" t="n"/>
    </row>
    <row r="339">
      <c r="A339" s="45" t="n"/>
      <c r="B339" s="45" t="n"/>
      <c r="C339" s="45" t="n"/>
      <c r="D339" s="45" t="n"/>
    </row>
    <row r="340">
      <c r="A340" s="45" t="n"/>
      <c r="B340" s="45" t="n"/>
      <c r="C340" s="45" t="n"/>
      <c r="D340" s="45" t="n"/>
    </row>
    <row r="341">
      <c r="A341" s="45" t="n"/>
      <c r="B341" s="45" t="n"/>
      <c r="C341" s="45" t="n"/>
      <c r="D341" s="45" t="n"/>
    </row>
    <row r="342">
      <c r="A342" s="45" t="n"/>
      <c r="B342" s="45" t="n"/>
      <c r="C342" s="45" t="n"/>
      <c r="D342" s="45" t="n"/>
    </row>
    <row r="343">
      <c r="A343" s="45" t="n"/>
      <c r="B343" s="45" t="n"/>
      <c r="C343" s="45" t="n"/>
      <c r="D343" s="45" t="n"/>
    </row>
    <row r="344">
      <c r="A344" s="45" t="n"/>
      <c r="B344" s="45" t="n"/>
      <c r="C344" s="45" t="n"/>
      <c r="D344" s="45" t="n"/>
    </row>
    <row r="345">
      <c r="A345" s="45" t="n"/>
      <c r="B345" s="45" t="n"/>
      <c r="C345" s="45" t="n"/>
      <c r="D345" s="45" t="n"/>
    </row>
    <row r="346">
      <c r="A346" s="45" t="n"/>
      <c r="B346" s="45" t="n"/>
      <c r="C346" s="45" t="n"/>
      <c r="D346" s="45" t="n"/>
    </row>
    <row r="347">
      <c r="A347" s="45" t="n"/>
      <c r="B347" s="45" t="n"/>
      <c r="C347" s="45" t="n"/>
      <c r="D347" s="45" t="n"/>
    </row>
    <row r="348">
      <c r="A348" s="45" t="n"/>
      <c r="B348" s="45" t="n"/>
      <c r="C348" s="45" t="n"/>
      <c r="D348" s="45" t="n"/>
    </row>
    <row r="349">
      <c r="A349" s="45" t="n"/>
      <c r="B349" s="45" t="n"/>
      <c r="C349" s="45" t="n"/>
      <c r="D349" s="45" t="n"/>
    </row>
    <row r="350">
      <c r="A350" s="45" t="n"/>
      <c r="B350" s="45" t="n"/>
      <c r="C350" s="45" t="n"/>
      <c r="D350" s="45" t="n"/>
    </row>
    <row r="351">
      <c r="A351" s="45" t="n"/>
      <c r="B351" s="45" t="n"/>
      <c r="C351" s="45" t="n"/>
      <c r="D351" s="45" t="n"/>
    </row>
    <row r="352">
      <c r="A352" s="45" t="n"/>
      <c r="B352" s="45" t="n"/>
      <c r="C352" s="45" t="n"/>
      <c r="D352" s="45" t="n"/>
    </row>
    <row r="353">
      <c r="A353" s="45" t="n"/>
      <c r="B353" s="45" t="n"/>
      <c r="C353" s="45" t="n"/>
      <c r="D353" s="45" t="n"/>
    </row>
    <row r="354">
      <c r="A354" s="45" t="n"/>
      <c r="B354" s="45" t="n"/>
      <c r="C354" s="45" t="n"/>
      <c r="D354" s="45" t="n"/>
    </row>
    <row r="355">
      <c r="A355" s="45" t="n"/>
      <c r="B355" s="45" t="n"/>
      <c r="C355" s="45" t="n"/>
      <c r="D355" s="45" t="n"/>
    </row>
    <row r="356">
      <c r="A356" s="45" t="n"/>
      <c r="B356" s="45" t="n"/>
      <c r="C356" s="45" t="n"/>
      <c r="D356" s="45" t="n"/>
    </row>
  </sheetData>
  <mergeCells count="5">
    <mergeCell ref="A1:D1"/>
    <mergeCell ref="A4:D4"/>
    <mergeCell ref="C6:C7"/>
    <mergeCell ref="D6:D7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2026-09-30T08:58:25Z</dcterms:created>
  <dcterms:modified xsi:type="dcterms:W3CDTF">2026-09-30T10:54:41Z</dcterms:modified>
  <cp:lastModifiedBy>User</cp:lastModifiedBy>
</cp:coreProperties>
</file>