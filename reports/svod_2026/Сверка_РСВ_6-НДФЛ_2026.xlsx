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квартал" sheetId="1" state="visible" r:id="rId1"/>
    <sheet name="Полугод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;&quot;–&quot;"/>
  </numFmts>
  <fonts count="5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DE7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0" fontId="3" fillId="3" borderId="1" applyAlignment="1" pivotButton="0" quotePrefix="0" xfId="0">
      <alignment vertical="top" wrapText="1"/>
    </xf>
    <xf numFmtId="164" fontId="3" fillId="3" borderId="1" pivotButton="0" quotePrefix="0" xfId="0"/>
    <xf numFmtId="0" fontId="0" fillId="3" borderId="1" applyAlignment="1" pivotButton="0" quotePrefix="0" xfId="0">
      <alignment vertical="top" wrapText="1"/>
    </xf>
    <xf numFmtId="164" fontId="0" fillId="3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vertical="top" wrapText="1"/>
    </xf>
    <xf numFmtId="164" fontId="3" fillId="0" borderId="1" pivotButton="0" quotePrefix="0" xfId="0"/>
    <xf numFmtId="0" fontId="4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  <col width="15" customWidth="1" min="11" max="11"/>
    <col width="55" customWidth="1" min="12" max="12"/>
  </cols>
  <sheetData>
    <row r="1">
      <c r="A1" s="1" t="inlineStr">
        <is>
          <t>Сверка оплаты труда и страховых взносов за 1 квартал 2026 г.</t>
        </is>
      </c>
    </row>
    <row r="2">
      <c r="A2" s="2" t="inlineStr">
        <is>
          <t>ООО «Легкие деньки», ИНН 3663129244</t>
        </is>
      </c>
    </row>
    <row r="3">
      <c r="A3" s="2" t="inlineStr">
        <is>
          <t>Источники: РСВ за 1 кв. (корр. 1, от 08.09.2026, КПП 366201001) и 6-НДФЛ за 1 кв. (корр. 0, от 20.04.2026)</t>
        </is>
      </c>
    </row>
    <row r="4">
      <c r="A4" s="2" t="inlineStr">
        <is>
          <t>6-НДФЛ (кроме годового) не содержит данных по физлицам — доход по 6-НДФЛ сравнивается итоговой строкой.</t>
        </is>
      </c>
    </row>
    <row r="6" ht="60" customHeight="1">
      <c r="A6" s="3" t="inlineStr">
        <is>
          <t>Сотрудник</t>
        </is>
      </c>
      <c r="B6" s="3" t="inlineStr">
        <is>
          <t>Январь</t>
        </is>
      </c>
      <c r="C6" s="3" t="inlineStr">
        <is>
          <t>Февраль</t>
        </is>
      </c>
      <c r="D6" s="3" t="inlineStr">
        <is>
          <t>Март</t>
        </is>
      </c>
      <c r="E6" s="3" t="inlineStr">
        <is>
          <t>Начислено за 1 кв. (РСВ, разд. 3)</t>
        </is>
      </c>
      <c r="F6" s="3" t="inlineStr">
        <is>
          <t>Взносы по РСВ (разд. 3, стр. 170)</t>
        </is>
      </c>
      <c r="G6" s="3" t="inlineStr">
        <is>
          <t>Взносы расчётно 30% от начислений</t>
        </is>
      </c>
      <c r="H6" s="3" t="inlineStr">
        <is>
          <t>Отклонение взносов (РСВ − расчёт)</t>
        </is>
      </c>
      <c r="I6" s="3" t="inlineStr">
        <is>
          <t>НДФЛ расчётно 13% от начислений</t>
        </is>
      </c>
      <c r="J6" s="3" t="inlineStr">
        <is>
          <t>Доход в 6-НДФЛ за 1 кв. (зарплата, КБК …0102010)</t>
        </is>
      </c>
      <c r="K6" s="3" t="inlineStr">
        <is>
          <t>Отклонение дохода (6-НДФЛ − РСВ)</t>
        </is>
      </c>
      <c r="L6" s="3" t="inlineStr">
        <is>
          <t>Комментарий</t>
        </is>
      </c>
    </row>
    <row r="7">
      <c r="A7" s="4" t="inlineStr">
        <is>
          <t>Лубкова Наталья Ивановна</t>
        </is>
      </c>
      <c r="B7" s="5" t="n">
        <v>27093</v>
      </c>
      <c r="C7" s="5" t="n">
        <v>27093</v>
      </c>
      <c r="D7" s="5" t="n">
        <v>27093</v>
      </c>
      <c r="E7" s="5">
        <f>SUM(B7:D7)</f>
        <v/>
      </c>
      <c r="F7" s="5" t="n">
        <v>24383.7</v>
      </c>
      <c r="G7" s="5">
        <f>ROUND(E7*0.3,2)</f>
        <v/>
      </c>
      <c r="H7" s="5">
        <f>F7-G7</f>
        <v/>
      </c>
      <c r="I7" s="5">
        <f>ROUND(E7*0.13,0)</f>
        <v/>
      </c>
      <c r="J7" s="4" t="n"/>
      <c r="K7" s="4" t="n"/>
      <c r="L7" s="4" t="inlineStr">
        <is>
          <t>Начисления = МРОТ 27 093 ₽/мес., взносы 30% посчитаны верно.</t>
        </is>
      </c>
    </row>
    <row r="8">
      <c r="A8" s="4" t="inlineStr">
        <is>
          <t>Баскова Неонила Павловна</t>
        </is>
      </c>
      <c r="B8" s="5" t="n">
        <v>0</v>
      </c>
      <c r="C8" s="5" t="n">
        <v>0</v>
      </c>
      <c r="D8" s="5" t="n">
        <v>0</v>
      </c>
      <c r="E8" s="5">
        <f>SUM(B8:D8)</f>
        <v/>
      </c>
      <c r="F8" s="5" t="n">
        <v>0</v>
      </c>
      <c r="G8" s="5">
        <f>ROUND(E8*0.3,2)</f>
        <v/>
      </c>
      <c r="H8" s="5">
        <f>F8-G8</f>
        <v/>
      </c>
      <c r="I8" s="5">
        <f>ROUND(E8*0.13,0)</f>
        <v/>
      </c>
      <c r="J8" s="4" t="n"/>
      <c r="K8" s="4" t="n"/>
      <c r="L8" s="4" t="inlineStr">
        <is>
          <t>В разд. 3 с кодом НР и нулевыми выплатами за январь (застрахованное лицо без выплат).</t>
        </is>
      </c>
    </row>
    <row r="9">
      <c r="A9" s="4" t="inlineStr">
        <is>
          <t>Троянова Екатерина Викторовна</t>
        </is>
      </c>
      <c r="B9" s="5" t="n">
        <v>0</v>
      </c>
      <c r="C9" s="5" t="n">
        <v>0</v>
      </c>
      <c r="D9" s="5" t="n">
        <v>0</v>
      </c>
      <c r="E9" s="5">
        <f>SUM(B9:D9)</f>
        <v/>
      </c>
      <c r="F9" s="5" t="n">
        <v>0</v>
      </c>
      <c r="G9" s="5">
        <f>ROUND(E9*0.3,2)</f>
        <v/>
      </c>
      <c r="H9" s="5">
        <f>F9-G9</f>
        <v/>
      </c>
      <c r="I9" s="5">
        <f>ROUND(E9*0.13,0)</f>
        <v/>
      </c>
      <c r="J9" s="4" t="n"/>
      <c r="K9" s="4" t="n"/>
      <c r="L9" s="4" t="inlineStr">
        <is>
          <t>Директор (подписывает отчётность), но в РСВ за 1 кв. разд. 3 на неё нет. Если в 1 кв. она была директором — проверить, нужен ли разд. 3 с нулевыми выплатами.</t>
        </is>
      </c>
    </row>
    <row r="10">
      <c r="A10" s="6" t="inlineStr">
        <is>
          <t>ИТОГО по разд. 3</t>
        </is>
      </c>
      <c r="B10" s="7">
        <f>SUM(B7:B9)</f>
        <v/>
      </c>
      <c r="C10" s="7">
        <f>SUM(C7:C9)</f>
        <v/>
      </c>
      <c r="D10" s="7">
        <f>SUM(D7:D9)</f>
        <v/>
      </c>
      <c r="E10" s="7">
        <f>SUM(E7:E9)</f>
        <v/>
      </c>
      <c r="F10" s="7">
        <f>SUM(F7:F9)</f>
        <v/>
      </c>
      <c r="G10" s="7">
        <f>SUM(G7:G9)</f>
        <v/>
      </c>
      <c r="H10" s="7">
        <f>SUM(H7:H9)</f>
        <v/>
      </c>
      <c r="I10" s="7">
        <f>SUM(I7:I9)</f>
        <v/>
      </c>
      <c r="J10" s="7" t="n">
        <v>0</v>
      </c>
      <c r="K10" s="7">
        <f>J10-E10</f>
        <v/>
      </c>
      <c r="L10" s="6" t="inlineStr">
        <is>
          <t>6-НДФЛ за 1 кв.: стр. 110 = 0 чел., стр. 120 = 0 по ставке 13% КБК 18210102010011000110 — раздела 2 по зарплате нет вовсе. Есть только дивиденды (КБК …0102130): 1 710 000 ₽, НДФЛ 222 300 ₽ — они взносами не облагаются, в сверку не входят.</t>
        </is>
      </c>
    </row>
    <row r="11">
      <c r="A11" s="8" t="inlineStr">
        <is>
          <t>Раздел 1 / подр. 1 РСВ (стр. 030 / 060)</t>
        </is>
      </c>
      <c r="B11" s="9" t="n">
        <v>27093</v>
      </c>
      <c r="C11" s="9" t="n">
        <v>27093</v>
      </c>
      <c r="D11" s="9" t="n">
        <v>27093</v>
      </c>
      <c r="E11" s="9" t="n">
        <v>81279</v>
      </c>
      <c r="F11" s="9" t="n">
        <v>24383.7</v>
      </c>
      <c r="G11" s="8" t="n"/>
      <c r="H11" s="9">
        <f>F11-F10</f>
        <v/>
      </c>
      <c r="I11" s="8" t="n"/>
      <c r="J11" s="8" t="n"/>
      <c r="K11" s="8" t="n"/>
      <c r="L11" s="8" t="inlineStr">
        <is>
          <t>Сводные строки раздела 1 совпадают с суммой по разд. 3 — внутри РСВ расхождений нет.</t>
        </is>
      </c>
    </row>
    <row r="13">
      <c r="A13" s="10" t="inlineStr">
        <is>
          <t>Вывод по 1 кварталу:</t>
        </is>
      </c>
    </row>
    <row r="14">
      <c r="A14" t="inlineStr">
        <is>
          <t>1. РСВ: начислено 81 279,00 ₽ (Лубкова), взносы 24 383,70 ₽ — арифметика верная (30%).</t>
        </is>
      </c>
    </row>
    <row r="15">
      <c r="A15" t="inlineStr">
        <is>
          <t>2. 6-НДФЛ: доходы по зарплате не отражены совсем (0 ₽). Зарплата Лубковой за январь и февраль (54 186 ₽, НДФЛ ≈ 7 044 ₽) выплачена в 1 кв. и должна быть в 6-НДФЛ за 1 кв.; мартовская (27 093 ₽) — в 1 кв. или во 2 кв., в зависимости от даты выплаты.</t>
        </is>
      </c>
    </row>
    <row r="16">
      <c r="A16" t="inlineStr">
        <is>
          <t>3. Ожидаемый НДФЛ с зарплаты за 1 кв. ≈ 10 566 ₽ — в 6-НДФЛ отсутствует, нужна уточнёнка 6-НДФЛ за 1 кв.</t>
        </is>
      </c>
    </row>
  </sheetData>
  <conditionalFormatting sqref="H7">
    <cfRule type="cellIs" priority="1" operator="notBetween" dxfId="0">
      <formula>-0.005</formula>
      <formula>0.005</formula>
    </cfRule>
    <cfRule type="cellIs" priority="2" operator="between" dxfId="1">
      <formula>-0.005</formula>
      <formula>0.005</formula>
    </cfRule>
  </conditionalFormatting>
  <conditionalFormatting sqref="H8">
    <cfRule type="cellIs" priority="3" operator="notBetween" dxfId="0">
      <formula>-0.005</formula>
      <formula>0.005</formula>
    </cfRule>
    <cfRule type="cellIs" priority="4" operator="between" dxfId="1">
      <formula>-0.005</formula>
      <formula>0.005</formula>
    </cfRule>
  </conditionalFormatting>
  <conditionalFormatting sqref="H9">
    <cfRule type="cellIs" priority="5" operator="notBetween" dxfId="0">
      <formula>-0.005</formula>
      <formula>0.005</formula>
    </cfRule>
    <cfRule type="cellIs" priority="6" operator="between" dxfId="1">
      <formula>-0.005</formula>
      <formula>0.005</formula>
    </cfRule>
  </conditionalFormatting>
  <conditionalFormatting sqref="H10">
    <cfRule type="cellIs" priority="7" operator="notBetween" dxfId="0">
      <formula>-0.005</formula>
      <formula>0.005</formula>
    </cfRule>
    <cfRule type="cellIs" priority="8" operator="between" dxfId="1">
      <formula>-0.005</formula>
      <formula>0.005</formula>
    </cfRule>
  </conditionalFormatting>
  <conditionalFormatting sqref="K10">
    <cfRule type="cellIs" priority="9" operator="notBetween" dxfId="0">
      <formula>-0.005</formula>
      <formula>0.005</formula>
    </cfRule>
    <cfRule type="cellIs" priority="10" operator="between" dxfId="1">
      <formula>-0.005</formula>
      <formula>0.005</formula>
    </cfRule>
  </conditionalFormatting>
  <conditionalFormatting sqref="H11">
    <cfRule type="cellIs" priority="11" operator="notBetween" dxfId="0">
      <formula>-0.005</formula>
      <formula>0.005</formula>
    </cfRule>
    <cfRule type="cellIs" priority="12" operator="between" dxfId="1">
      <formula>-0.005</formula>
      <formula>0.005</formula>
    </cfRule>
  </conditionalFormatting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4" customWidth="1" min="11" max="11"/>
    <col width="15" customWidth="1" min="12" max="12"/>
    <col width="55" customWidth="1" min="13" max="13"/>
  </cols>
  <sheetData>
    <row r="1">
      <c r="A1" s="1" t="inlineStr">
        <is>
          <t>Сверка оплаты труда и страховых взносов за полугодие 2026 г.</t>
        </is>
      </c>
    </row>
    <row r="2">
      <c r="A2" s="2" t="inlineStr">
        <is>
          <t>ООО «Легкие деньки», ИНН 3663129244</t>
        </is>
      </c>
    </row>
    <row r="3">
      <c r="A3" s="2" t="inlineStr">
        <is>
          <t>Источники: РСВ за полугодие (корр. 0, от 24.07.2026), РСВ за 1 кв. (корр. 1, от 08.09.2026), 6-НДФЛ за полугодие (корр. 0, от 24.07.2026)</t>
        </is>
      </c>
    </row>
    <row r="5" ht="60" customHeight="1">
      <c r="A5" s="3" t="inlineStr">
        <is>
          <t>Сотрудник</t>
        </is>
      </c>
      <c r="B5" s="3" t="inlineStr">
        <is>
          <t>1 кв. (по РСВ за 1 кв., корр. 1)</t>
        </is>
      </c>
      <c r="C5" s="3" t="inlineStr">
        <is>
          <t>Апрель</t>
        </is>
      </c>
      <c r="D5" s="3" t="inlineStr">
        <is>
          <t>Май</t>
        </is>
      </c>
      <c r="E5" s="3" t="inlineStr">
        <is>
          <t>Июнь</t>
        </is>
      </c>
      <c r="F5" s="3" t="inlineStr">
        <is>
          <t>Начислено за полугодие</t>
        </is>
      </c>
      <c r="G5" s="3" t="inlineStr">
        <is>
          <t>Взносы за 1 кв. (РСВ 1 кв.)</t>
        </is>
      </c>
      <c r="H5" s="3" t="inlineStr">
        <is>
          <t>Взносы апрель–июнь (РСВ п/г, разд. 3)</t>
        </is>
      </c>
      <c r="I5" s="3" t="inlineStr">
        <is>
          <t>Взносы за полугодие (по сотрудникам)</t>
        </is>
      </c>
      <c r="J5" s="3" t="inlineStr">
        <is>
          <t>Взносы расчётно 30%</t>
        </is>
      </c>
      <c r="K5" s="3" t="inlineStr">
        <is>
          <t>Отклонение взносов</t>
        </is>
      </c>
      <c r="L5" s="3" t="inlineStr">
        <is>
          <t>НДФЛ расчётно 13% от начислений</t>
        </is>
      </c>
      <c r="M5" s="3" t="inlineStr">
        <is>
          <t>Комментарий</t>
        </is>
      </c>
    </row>
    <row r="6">
      <c r="A6" s="4" t="inlineStr">
        <is>
          <t>Лубкова Наталья Ивановна</t>
        </is>
      </c>
      <c r="B6" s="5" t="n">
        <v>81279</v>
      </c>
      <c r="C6" s="5" t="n">
        <v>0</v>
      </c>
      <c r="D6" s="5" t="n">
        <v>0</v>
      </c>
      <c r="E6" s="5" t="n">
        <v>0</v>
      </c>
      <c r="F6" s="5">
        <f>SUM(B6:E6)</f>
        <v/>
      </c>
      <c r="G6" s="5" t="n">
        <v>24383.7</v>
      </c>
      <c r="H6" s="5" t="n">
        <v>0</v>
      </c>
      <c r="I6" s="5">
        <f>G6+H6</f>
        <v/>
      </c>
      <c r="J6" s="5">
        <f>ROUND(F6*0.3,2)</f>
        <v/>
      </c>
      <c r="K6" s="5">
        <f>I6-J6</f>
        <v/>
      </c>
      <c r="L6" s="5">
        <f>ROUND(F6*0.13,0)</f>
        <v/>
      </c>
      <c r="M6" s="4" t="inlineStr">
        <is>
          <t>Работала только в 1 кв. Данные 1 кв. — из уточнённого РСВ за 1 кв.</t>
        </is>
      </c>
    </row>
    <row r="7">
      <c r="A7" s="4" t="inlineStr">
        <is>
          <t>Троянова Екатерина Викторовна</t>
        </is>
      </c>
      <c r="B7" s="5" t="n">
        <v>0</v>
      </c>
      <c r="C7" s="5" t="n">
        <v>19868.2</v>
      </c>
      <c r="D7" s="5" t="n">
        <v>27093</v>
      </c>
      <c r="E7" s="5" t="n">
        <v>27093</v>
      </c>
      <c r="F7" s="5">
        <f>SUM(B7:E7)</f>
        <v/>
      </c>
      <c r="G7" s="5" t="n">
        <v>0</v>
      </c>
      <c r="H7" s="5" t="n">
        <v>22216.26</v>
      </c>
      <c r="I7" s="5">
        <f>G7+H7</f>
        <v/>
      </c>
      <c r="J7" s="5">
        <f>ROUND(F7*0.3,2)</f>
        <v/>
      </c>
      <c r="K7" s="5">
        <f>I7-J7</f>
        <v/>
      </c>
      <c r="L7" s="5">
        <f>ROUND(F7*0.13,0)</f>
        <v/>
      </c>
      <c r="M7" s="4" t="inlineStr">
        <is>
          <t>Выплаты с апреля. Апрель 19 868,20 ₽ — меньше МРОТ: проверить неполное время / неполный месяц.</t>
        </is>
      </c>
    </row>
    <row r="8">
      <c r="A8" s="4" t="inlineStr">
        <is>
          <t>Денисова Александра Валерьевна</t>
        </is>
      </c>
      <c r="B8" s="5" t="n">
        <v>0</v>
      </c>
      <c r="C8" s="5" t="n">
        <v>0</v>
      </c>
      <c r="D8" s="5" t="n">
        <v>0</v>
      </c>
      <c r="E8" s="5" t="n">
        <v>21428.57</v>
      </c>
      <c r="F8" s="5">
        <f>SUM(B8:E8)</f>
        <v/>
      </c>
      <c r="G8" s="5" t="n">
        <v>0</v>
      </c>
      <c r="H8" s="5" t="n">
        <v>6428.57</v>
      </c>
      <c r="I8" s="5">
        <f>G8+H8</f>
        <v/>
      </c>
      <c r="J8" s="5">
        <f>ROUND(F8*0.3,2)</f>
        <v/>
      </c>
      <c r="K8" s="5">
        <f>I8-J8</f>
        <v/>
      </c>
      <c r="L8" s="5">
        <f>ROUND(F8*0.13,0)</f>
        <v/>
      </c>
      <c r="M8" s="4" t="inlineStr">
        <is>
          <t>Принята в июне: 21 428,57 = 30 000 × 15/21 раб. дн.</t>
        </is>
      </c>
    </row>
    <row r="9">
      <c r="A9" s="4" t="inlineStr">
        <is>
          <t>Баскова Неонила Павловна</t>
        </is>
      </c>
      <c r="B9" s="5" t="n">
        <v>0</v>
      </c>
      <c r="C9" s="5" t="n">
        <v>0</v>
      </c>
      <c r="D9" s="5" t="n">
        <v>0</v>
      </c>
      <c r="E9" s="5" t="n">
        <v>0</v>
      </c>
      <c r="F9" s="5">
        <f>SUM(B9:E9)</f>
        <v/>
      </c>
      <c r="G9" s="5" t="n">
        <v>0</v>
      </c>
      <c r="H9" s="5" t="n">
        <v>0</v>
      </c>
      <c r="I9" s="5">
        <f>G9+H9</f>
        <v/>
      </c>
      <c r="J9" s="5">
        <f>ROUND(F9*0.3,2)</f>
        <v/>
      </c>
      <c r="K9" s="5">
        <f>I9-J9</f>
        <v/>
      </c>
      <c r="L9" s="5">
        <f>ROUND(F9*0.13,0)</f>
        <v/>
      </c>
      <c r="M9" s="4" t="inlineStr">
        <is>
          <t>Выплат нет.</t>
        </is>
      </c>
    </row>
    <row r="10">
      <c r="A10" s="6" t="inlineStr">
        <is>
          <t>ИТОГО по сотрудникам</t>
        </is>
      </c>
      <c r="B10" s="7">
        <f>SUM(B6:B9)</f>
        <v/>
      </c>
      <c r="C10" s="7">
        <f>SUM(C6:C9)</f>
        <v/>
      </c>
      <c r="D10" s="7">
        <f>SUM(D6:D9)</f>
        <v/>
      </c>
      <c r="E10" s="7">
        <f>SUM(E6:E9)</f>
        <v/>
      </c>
      <c r="F10" s="7">
        <f>SUM(F6:F9)</f>
        <v/>
      </c>
      <c r="G10" s="7">
        <f>SUM(G6:G9)</f>
        <v/>
      </c>
      <c r="H10" s="7">
        <f>SUM(H6:H9)</f>
        <v/>
      </c>
      <c r="I10" s="7">
        <f>SUM(I6:I9)</f>
        <v/>
      </c>
      <c r="J10" s="7">
        <f>SUM(J6:J9)</f>
        <v/>
      </c>
      <c r="K10" s="7">
        <f>SUM(K6:K9)</f>
        <v/>
      </c>
      <c r="L10" s="7">
        <f>SUM(L6:L9)</f>
        <v/>
      </c>
      <c r="M10" s="6" t="inlineStr"/>
    </row>
    <row r="11">
      <c r="A11" s="8" t="inlineStr">
        <is>
          <t>РСВ за полугодие, раздел 1 (стр. 030 подр. 1 / стр. 030 разд. 1)</t>
        </is>
      </c>
      <c r="B11" s="9">
        <f>F11-SUM(C11:E11)</f>
        <v/>
      </c>
      <c r="C11" s="9" t="n">
        <v>19868.2</v>
      </c>
      <c r="D11" s="9" t="n">
        <v>27093</v>
      </c>
      <c r="E11" s="9" t="n">
        <v>48521.57</v>
      </c>
      <c r="F11" s="9" t="n">
        <v>169770.03</v>
      </c>
      <c r="G11" s="9">
        <f>I11-H11</f>
        <v/>
      </c>
      <c r="H11" s="9" t="n">
        <v>28644.83</v>
      </c>
      <c r="I11" s="9" t="n">
        <v>50931.01</v>
      </c>
      <c r="J11" s="8" t="n"/>
      <c r="K11" s="8" t="n"/>
      <c r="L11" s="8" t="n"/>
      <c r="M11" s="8" t="inlineStr">
        <is>
          <t>1 кв. внутри РСВ за полугодие = 169 770,03 − 95 482,77 = 74 287,26 ₽ (взносы 22 286,18 ₽).</t>
        </is>
      </c>
    </row>
    <row r="12">
      <c r="A12" s="11" t="inlineStr">
        <is>
          <t>РАСХОЖДЕНИЕ: РСВ п/г − данные по сотрудникам</t>
        </is>
      </c>
      <c r="B12" s="12">
        <f>B11-B10</f>
        <v/>
      </c>
      <c r="C12" s="12">
        <f>C11-C10</f>
        <v/>
      </c>
      <c r="D12" s="12">
        <f>D11-D10</f>
        <v/>
      </c>
      <c r="E12" s="12">
        <f>E11-E10</f>
        <v/>
      </c>
      <c r="F12" s="12">
        <f>F11-F10</f>
        <v/>
      </c>
      <c r="G12" s="12">
        <f>G11-G10</f>
        <v/>
      </c>
      <c r="H12" s="12">
        <f>H11-H10</f>
        <v/>
      </c>
      <c r="I12" s="12">
        <f>I11-I10</f>
        <v/>
      </c>
      <c r="J12" s="11" t="n"/>
      <c r="K12" s="11" t="n"/>
      <c r="L12" s="11" t="n"/>
      <c r="M12" s="11" t="inlineStr">
        <is>
          <t>В РСВ за полугодие 1 кв. занижен на 6 991,74 ₽ начислений и 2 097,52 ₽ взносов по сравнению с уточнённым РСВ за 1 кв. (Лубкова: 81 279,00 против 74 287,26). Уточнёнка за 1 кв. сдана 08.09.2026 — после РСВ за полугодие, поэтому РСВ за полугодие тоже нужно уточнить.</t>
        </is>
      </c>
    </row>
    <row r="14">
      <c r="A14" s="13" t="inlineStr">
        <is>
          <t>Сверка с 6-НДФЛ за полугодие (зарплата, ставка 13%, КБК 18210102010011000110)</t>
        </is>
      </c>
    </row>
    <row r="15">
      <c r="A15" s="14" t="inlineStr">
        <is>
          <t>Показатель</t>
        </is>
      </c>
      <c r="B15" s="14" t="inlineStr">
        <is>
          <t>РСВ (начислено)</t>
        </is>
      </c>
      <c r="C15" s="14" t="inlineStr">
        <is>
          <t>6-НДФЛ</t>
        </is>
      </c>
      <c r="D15" s="14" t="inlineStr">
        <is>
          <t>Разница (6-НДФЛ − РСВ)</t>
        </is>
      </c>
      <c r="E15" s="14" t="inlineStr">
        <is>
          <t>Комментарий</t>
        </is>
      </c>
    </row>
    <row r="16">
      <c r="A16" s="4" t="inlineStr">
        <is>
          <t>Кол-во физлиц с доходом</t>
        </is>
      </c>
      <c r="B16" s="5" t="n">
        <v>3</v>
      </c>
      <c r="C16" s="5" t="n">
        <v>2</v>
      </c>
      <c r="D16" s="5">
        <f>C16-B16</f>
        <v/>
      </c>
      <c r="E16" s="4" t="inlineStr">
        <is>
          <t>РСВ стр. 020: Лубкова, Троянова, Денисова; 6-НДФЛ стр. 110: 2 чел.</t>
        </is>
      </c>
    </row>
    <row r="17">
      <c r="A17" s="4" t="inlineStr">
        <is>
          <t>Доход за полугодие</t>
        </is>
      </c>
      <c r="B17" s="5">
        <f>F10</f>
        <v/>
      </c>
      <c r="C17" s="5" t="n">
        <v>49102.64</v>
      </c>
      <c r="D17" s="5">
        <f>C17-B17</f>
        <v/>
      </c>
      <c r="E17" s="4" t="inlineStr">
        <is>
          <t>6-НДФЛ отражает доход по дате выплаты. Даже если вся июньская зарплата (48 521,57) выплачена в июле, разница остаётся ≈ 79 тыс. ₽ — это примерно зарплата Лубковой за 1 кв. (81 279 ₽), которой нет ни в одном 6-НДФЛ.</t>
        </is>
      </c>
    </row>
    <row r="18">
      <c r="A18" s="4" t="inlineStr">
        <is>
          <t>НДФЛ исчисленный</t>
        </is>
      </c>
      <c r="B18" s="5">
        <f>L10</f>
        <v/>
      </c>
      <c r="C18" s="5" t="n">
        <v>6383</v>
      </c>
      <c r="D18" s="5">
        <f>C18-B18</f>
        <v/>
      </c>
      <c r="E18" s="4" t="inlineStr">
        <is>
          <t>6-НДФЛ стр. 140 = 6 383 ₽ (13% от 49 102,64 — арифметика верная).</t>
        </is>
      </c>
    </row>
    <row r="19">
      <c r="A19" s="4" t="inlineStr">
        <is>
          <t>Доход без июньских начислений (если июнь выплачен в июле)</t>
        </is>
      </c>
      <c r="B19" s="5">
        <f>F10-E10</f>
        <v/>
      </c>
      <c r="C19" s="5" t="n">
        <v>49102.64</v>
      </c>
      <c r="D19" s="5">
        <f>C19-B19</f>
        <v/>
      </c>
      <c r="E19" s="4" t="inlineStr">
        <is>
          <t>Оценка с учётом сроков выплаты. Точную разбивку по датам дадут ведомости/выписка.</t>
        </is>
      </c>
    </row>
    <row r="21">
      <c r="A21" s="10" t="inlineStr">
        <is>
          <t>Вывод по полугодию:</t>
        </is>
      </c>
    </row>
    <row r="22">
      <c r="A22" t="inlineStr">
        <is>
          <t>1. По сотрудникам за полугодие начислено 176 761,77 ₽, взносы 53 028,53 ₽; в РСВ за полугодие — 169 770,03 ₽ и 50 931,01 ₽. Расхождение 6 991,74 ₽ / 2 097,52 ₽ целиком в 1 кв. (Лубкова) — РСВ за полугодие сдан до уточнения 1 кв.</t>
        </is>
      </c>
    </row>
    <row r="23">
      <c r="A23" t="inlineStr">
        <is>
          <t>2. Апрель–июнь (Троянова, Денисова) внутри РСВ за полугодие сходится: разд. 3 = разд. 1, взносы = 30%.</t>
        </is>
      </c>
    </row>
    <row r="24">
      <c r="A24" t="inlineStr">
        <is>
          <t>3. 6-НДФЛ за полугодие: доход 49 102,64 ₽ (2 чел.) против 176 761,77 ₽ начислений — не отражена зарплата Лубковой за 1 кв. и, вероятно, часть выплат 2 кв.</t>
        </is>
      </c>
    </row>
    <row r="25">
      <c r="A25" t="inlineStr">
        <is>
          <t>4. Обратите внимание: РСВ за 1 кв. (корр. 1) подан с КПП 366201001 в ИФНС 3662, остальные отчёты — КПП 366301001 / ИФНС 3663.</t>
        </is>
      </c>
    </row>
    <row r="26">
      <c r="A26" t="inlineStr">
        <is>
          <t>Что сделать: уточнённый РСВ за полугодие (1 кв. по Лубковой = 81 279,00 ₽), уточнённые 6-НДФЛ за 1 кв. и полугодие с зарплатой по датам фактической выплаты.</t>
        </is>
      </c>
    </row>
  </sheetData>
  <conditionalFormatting sqref="K6">
    <cfRule type="cellIs" priority="1" operator="notBetween" dxfId="0">
      <formula>-0.005</formula>
      <formula>0.005</formula>
    </cfRule>
    <cfRule type="cellIs" priority="2" operator="between" dxfId="1">
      <formula>-0.005</formula>
      <formula>0.005</formula>
    </cfRule>
  </conditionalFormatting>
  <conditionalFormatting sqref="K7">
    <cfRule type="cellIs" priority="3" operator="notBetween" dxfId="0">
      <formula>-0.005</formula>
      <formula>0.005</formula>
    </cfRule>
    <cfRule type="cellIs" priority="4" operator="between" dxfId="1">
      <formula>-0.005</formula>
      <formula>0.005</formula>
    </cfRule>
  </conditionalFormatting>
  <conditionalFormatting sqref="K8">
    <cfRule type="cellIs" priority="5" operator="notBetween" dxfId="0">
      <formula>-0.005</formula>
      <formula>0.005</formula>
    </cfRule>
    <cfRule type="cellIs" priority="6" operator="between" dxfId="1">
      <formula>-0.005</formula>
      <formula>0.005</formula>
    </cfRule>
  </conditionalFormatting>
  <conditionalFormatting sqref="K9">
    <cfRule type="cellIs" priority="7" operator="notBetween" dxfId="0">
      <formula>-0.005</formula>
      <formula>0.005</formula>
    </cfRule>
    <cfRule type="cellIs" priority="8" operator="between" dxfId="1">
      <formula>-0.005</formula>
      <formula>0.005</formula>
    </cfRule>
  </conditionalFormatting>
  <conditionalFormatting sqref="K10">
    <cfRule type="cellIs" priority="9" operator="notBetween" dxfId="0">
      <formula>-0.005</formula>
      <formula>0.005</formula>
    </cfRule>
    <cfRule type="cellIs" priority="10" operator="between" dxfId="1">
      <formula>-0.005</formula>
      <formula>0.005</formula>
    </cfRule>
  </conditionalFormatting>
  <conditionalFormatting sqref="B12">
    <cfRule type="cellIs" priority="11" operator="notBetween" dxfId="0">
      <formula>-0.005</formula>
      <formula>0.005</formula>
    </cfRule>
    <cfRule type="cellIs" priority="12" operator="between" dxfId="1">
      <formula>-0.005</formula>
      <formula>0.005</formula>
    </cfRule>
  </conditionalFormatting>
  <conditionalFormatting sqref="C12">
    <cfRule type="cellIs" priority="13" operator="notBetween" dxfId="0">
      <formula>-0.005</formula>
      <formula>0.005</formula>
    </cfRule>
    <cfRule type="cellIs" priority="14" operator="between" dxfId="1">
      <formula>-0.005</formula>
      <formula>0.005</formula>
    </cfRule>
  </conditionalFormatting>
  <conditionalFormatting sqref="D12">
    <cfRule type="cellIs" priority="15" operator="notBetween" dxfId="0">
      <formula>-0.005</formula>
      <formula>0.005</formula>
    </cfRule>
    <cfRule type="cellIs" priority="16" operator="between" dxfId="1">
      <formula>-0.005</formula>
      <formula>0.005</formula>
    </cfRule>
  </conditionalFormatting>
  <conditionalFormatting sqref="E12">
    <cfRule type="cellIs" priority="17" operator="notBetween" dxfId="0">
      <formula>-0.005</formula>
      <formula>0.005</formula>
    </cfRule>
    <cfRule type="cellIs" priority="18" operator="between" dxfId="1">
      <formula>-0.005</formula>
      <formula>0.005</formula>
    </cfRule>
  </conditionalFormatting>
  <conditionalFormatting sqref="F12">
    <cfRule type="cellIs" priority="19" operator="notBetween" dxfId="0">
      <formula>-0.005</formula>
      <formula>0.005</formula>
    </cfRule>
    <cfRule type="cellIs" priority="20" operator="between" dxfId="1">
      <formula>-0.005</formula>
      <formula>0.005</formula>
    </cfRule>
  </conditionalFormatting>
  <conditionalFormatting sqref="G12">
    <cfRule type="cellIs" priority="21" operator="notBetween" dxfId="0">
      <formula>-0.005</formula>
      <formula>0.005</formula>
    </cfRule>
    <cfRule type="cellIs" priority="22" operator="between" dxfId="1">
      <formula>-0.005</formula>
      <formula>0.005</formula>
    </cfRule>
  </conditionalFormatting>
  <conditionalFormatting sqref="H12">
    <cfRule type="cellIs" priority="23" operator="notBetween" dxfId="0">
      <formula>-0.005</formula>
      <formula>0.005</formula>
    </cfRule>
    <cfRule type="cellIs" priority="24" operator="between" dxfId="1">
      <formula>-0.005</formula>
      <formula>0.005</formula>
    </cfRule>
  </conditionalFormatting>
  <conditionalFormatting sqref="I12">
    <cfRule type="cellIs" priority="25" operator="notBetween" dxfId="0">
      <formula>-0.005</formula>
      <formula>0.005</formula>
    </cfRule>
    <cfRule type="cellIs" priority="26" operator="between" dxfId="1">
      <formula>-0.005</formula>
      <formula>0.005</formula>
    </cfRule>
  </conditionalFormatting>
  <conditionalFormatting sqref="D16">
    <cfRule type="cellIs" priority="27" operator="notBetween" dxfId="0">
      <formula>-0.005</formula>
      <formula>0.005</formula>
    </cfRule>
    <cfRule type="cellIs" priority="28" operator="between" dxfId="1">
      <formula>-0.005</formula>
      <formula>0.005</formula>
    </cfRule>
  </conditionalFormatting>
  <conditionalFormatting sqref="D17">
    <cfRule type="cellIs" priority="29" operator="notBetween" dxfId="0">
      <formula>-0.005</formula>
      <formula>0.005</formula>
    </cfRule>
    <cfRule type="cellIs" priority="30" operator="between" dxfId="1">
      <formula>-0.005</formula>
      <formula>0.005</formula>
    </cfRule>
  </conditionalFormatting>
  <conditionalFormatting sqref="D18">
    <cfRule type="cellIs" priority="31" operator="notBetween" dxfId="0">
      <formula>-0.005</formula>
      <formula>0.005</formula>
    </cfRule>
    <cfRule type="cellIs" priority="32" operator="between" dxfId="1">
      <formula>-0.005</formula>
      <formula>0.005</formula>
    </cfRule>
  </conditionalFormatting>
  <conditionalFormatting sqref="D19">
    <cfRule type="cellIs" priority="33" operator="notBetween" dxfId="0">
      <formula>-0.005</formula>
      <formula>0.005</formula>
    </cfRule>
    <cfRule type="cellIs" priority="34" operator="between" dxfId="1">
      <formula>-0.005</formula>
      <formula>0.005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2026-10-01T08:45:05Z</dcterms:created>
  <dcterms:modified xsi:type="dcterms:W3CDTF">2026-10-01T08:45:05Z</dcterms:modified>
</cp:coreProperties>
</file>