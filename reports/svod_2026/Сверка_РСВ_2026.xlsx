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квартал" sheetId="1" state="visible" r:id="rId1"/>
    <sheet name="Полугод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;&quot;–&quot;"/>
  </numFmts>
  <fonts count="5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DE7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0" fontId="3" fillId="3" borderId="1" applyAlignment="1" pivotButton="0" quotePrefix="0" xfId="0">
      <alignment vertical="top" wrapText="1"/>
    </xf>
    <xf numFmtId="164" fontId="3" fillId="3" borderId="1" pivotButton="0" quotePrefix="0" xfId="0"/>
    <xf numFmtId="0" fontId="0" fillId="3" borderId="1" applyAlignment="1" pivotButton="0" quotePrefix="0" xfId="0">
      <alignment vertical="top" wrapText="1"/>
    </xf>
    <xf numFmtId="164" fontId="0" fillId="3" borderId="1" pivotButton="0" quotePrefix="0" xfId="0"/>
    <xf numFmtId="0" fontId="3" fillId="0" borderId="1" applyAlignment="1" pivotButton="0" quotePrefix="0" xfId="0">
      <alignment vertical="top" wrapText="1"/>
    </xf>
    <xf numFmtId="164" fontId="3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D7DA"/>
        </patternFill>
      </fill>
    </dxf>
    <dxf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</cols>
  <sheetData>
    <row r="1">
      <c r="A1" s="1" t="inlineStr">
        <is>
          <t>РСВ за 1 квартал 2026 г.: первичный и уточнённый — по сотрудникам</t>
        </is>
      </c>
    </row>
    <row r="2">
      <c r="A2" s="2" t="inlineStr">
        <is>
          <t>ООО «Легкие деньки», ИНН 3663129244, тариф 01 (30%)</t>
        </is>
      </c>
    </row>
    <row r="3">
      <c r="A3" s="2" t="inlineStr">
        <is>
          <t>Первичный: корр. 0 от 01.06.2026, КПП 366301001, ИФНС 3663.   Уточнённый: корр. 1 от 08.09.2026, КПП 366201001, ИФНС 3662.</t>
        </is>
      </c>
    </row>
    <row r="5" ht="62" customHeight="1">
      <c r="A5" s="3" t="inlineStr">
        <is>
          <t>Сотрудник</t>
        </is>
      </c>
      <c r="B5" s="3" t="inlineStr">
        <is>
          <t>Месяц</t>
        </is>
      </c>
      <c r="C5" s="3" t="inlineStr">
        <is>
          <t>Выплаты: первичный</t>
        </is>
      </c>
      <c r="D5" s="3" t="inlineStr">
        <is>
          <t>Выплаты: уточнённый</t>
        </is>
      </c>
      <c r="E5" s="3" t="inlineStr">
        <is>
          <t>Разница выплат (уточнённый − первичный)</t>
        </is>
      </c>
      <c r="F5" s="3" t="inlineStr">
        <is>
          <t>Взносы: первичный</t>
        </is>
      </c>
      <c r="G5" s="3" t="inlineStr">
        <is>
          <t>Взносы: уточнённый</t>
        </is>
      </c>
      <c r="H5" s="3" t="inlineStr">
        <is>
          <t>Разница взносов (уточнённый − первичный)</t>
        </is>
      </c>
      <c r="I5" s="3" t="inlineStr">
        <is>
          <t>Проверка: взносы уточнённый − 30% от выплат</t>
        </is>
      </c>
      <c r="J5" s="3" t="inlineStr">
        <is>
          <t>Комментарий</t>
        </is>
      </c>
    </row>
    <row r="6">
      <c r="A6" s="4" t="inlineStr">
        <is>
          <t>Лубкова Наталья Ивановна</t>
        </is>
      </c>
      <c r="B6" s="4" t="inlineStr">
        <is>
          <t>Январь</t>
        </is>
      </c>
      <c r="C6" s="5" t="n">
        <v>27093</v>
      </c>
      <c r="D6" s="5" t="n">
        <v>27093</v>
      </c>
      <c r="E6" s="5">
        <f>D6-C6</f>
        <v/>
      </c>
      <c r="F6" s="5" t="n">
        <v>8127.9</v>
      </c>
      <c r="G6" s="5" t="n">
        <v>8127.9</v>
      </c>
      <c r="H6" s="5">
        <f>G6-F6</f>
        <v/>
      </c>
      <c r="I6" s="5">
        <f>G6-ROUND(D6*0.3,2)</f>
        <v/>
      </c>
      <c r="J6" s="4" t="inlineStr"/>
    </row>
    <row r="7">
      <c r="A7" s="4" t="inlineStr"/>
      <c r="B7" s="4" t="inlineStr">
        <is>
          <t>Февраль</t>
        </is>
      </c>
      <c r="C7" s="5" t="n">
        <v>27093</v>
      </c>
      <c r="D7" s="5" t="n">
        <v>27093</v>
      </c>
      <c r="E7" s="5">
        <f>D7-C7</f>
        <v/>
      </c>
      <c r="F7" s="5" t="n">
        <v>8127.9</v>
      </c>
      <c r="G7" s="5" t="n">
        <v>8127.9</v>
      </c>
      <c r="H7" s="5">
        <f>G7-F7</f>
        <v/>
      </c>
      <c r="I7" s="5">
        <f>G7-ROUND(D7*0.3,2)</f>
        <v/>
      </c>
      <c r="J7" s="4" t="inlineStr"/>
    </row>
    <row r="8">
      <c r="A8" s="4" t="inlineStr"/>
      <c r="B8" s="4" t="inlineStr">
        <is>
          <t>Март</t>
        </is>
      </c>
      <c r="C8" s="5" t="n">
        <v>20101.26</v>
      </c>
      <c r="D8" s="5" t="n">
        <v>27093</v>
      </c>
      <c r="E8" s="5">
        <f>D8-C8</f>
        <v/>
      </c>
      <c r="F8" s="5" t="n">
        <v>6030.38</v>
      </c>
      <c r="G8" s="5" t="n">
        <v>8127.9</v>
      </c>
      <c r="H8" s="5">
        <f>G8-F8</f>
        <v/>
      </c>
      <c r="I8" s="5">
        <f>G8-ROUND(D8*0.3,2)</f>
        <v/>
      </c>
      <c r="J8" s="4" t="inlineStr">
        <is>
          <t>Расхождение: в первичном март 20 101,26 ₽, в уточнённом — полный МРОТ 27 093,00 ₽.</t>
        </is>
      </c>
    </row>
    <row r="9">
      <c r="A9" s="6" t="inlineStr">
        <is>
          <t>Итого Лубкова</t>
        </is>
      </c>
      <c r="B9" s="6" t="inlineStr"/>
      <c r="C9" s="7">
        <f>SUM(C6:C8)</f>
        <v/>
      </c>
      <c r="D9" s="7">
        <f>SUM(D6:D8)</f>
        <v/>
      </c>
      <c r="E9" s="7">
        <f>D9-C9</f>
        <v/>
      </c>
      <c r="F9" s="7">
        <f>SUM(F6:F8)</f>
        <v/>
      </c>
      <c r="G9" s="7">
        <f>SUM(G6:G8)</f>
        <v/>
      </c>
      <c r="H9" s="7">
        <f>G9-F9</f>
        <v/>
      </c>
      <c r="I9" s="7">
        <f>G9-ROUND(D9*0.3,2)</f>
        <v/>
      </c>
      <c r="J9" s="6" t="inlineStr"/>
    </row>
    <row r="10">
      <c r="A10" s="4" t="inlineStr">
        <is>
          <t>Баскова Неонила Павловна</t>
        </is>
      </c>
      <c r="B10" s="4" t="inlineStr">
        <is>
          <t>Январь</t>
        </is>
      </c>
      <c r="C10" s="5" t="n">
        <v>0</v>
      </c>
      <c r="D10" s="5" t="n">
        <v>0</v>
      </c>
      <c r="E10" s="5">
        <f>D10-C10</f>
        <v/>
      </c>
      <c r="F10" s="5" t="n">
        <v>0</v>
      </c>
      <c r="G10" s="5" t="n">
        <v>0</v>
      </c>
      <c r="H10" s="5">
        <f>G10-F10</f>
        <v/>
      </c>
      <c r="I10" s="5">
        <f>G10-ROUND(D10*0.3,2)</f>
        <v/>
      </c>
      <c r="J10" s="4" t="inlineStr">
        <is>
          <t>В обоих расчётах — код НР, выплат нет.</t>
        </is>
      </c>
    </row>
    <row r="11">
      <c r="A11" s="6" t="inlineStr">
        <is>
          <t>Итого Баскова</t>
        </is>
      </c>
      <c r="B11" s="6" t="inlineStr"/>
      <c r="C11" s="7">
        <f>SUM(C10:C10)</f>
        <v/>
      </c>
      <c r="D11" s="7">
        <f>SUM(D10:D10)</f>
        <v/>
      </c>
      <c r="E11" s="7">
        <f>D11-C11</f>
        <v/>
      </c>
      <c r="F11" s="7">
        <f>SUM(F10:F10)</f>
        <v/>
      </c>
      <c r="G11" s="7">
        <f>SUM(G10:G10)</f>
        <v/>
      </c>
      <c r="H11" s="7">
        <f>G11-F11</f>
        <v/>
      </c>
      <c r="I11" s="7">
        <f>G11-ROUND(D11*0.3,2)</f>
        <v/>
      </c>
      <c r="J11" s="6" t="inlineStr"/>
    </row>
    <row r="12">
      <c r="A12" s="6" t="inlineStr">
        <is>
          <t>ИТОГО по разделу 3</t>
        </is>
      </c>
      <c r="B12" s="6" t="inlineStr">
        <is>
          <t>1 кв.</t>
        </is>
      </c>
      <c r="C12" s="7">
        <f>C9+C11</f>
        <v/>
      </c>
      <c r="D12" s="7">
        <f>D9+D11</f>
        <v/>
      </c>
      <c r="E12" s="7">
        <f>D12-C12</f>
        <v/>
      </c>
      <c r="F12" s="7">
        <f>F9+F11</f>
        <v/>
      </c>
      <c r="G12" s="7">
        <f>G9+G11</f>
        <v/>
      </c>
      <c r="H12" s="7">
        <f>G12-F12</f>
        <v/>
      </c>
      <c r="I12" s="7">
        <f>G12-ROUND(D12*0.3,2)</f>
        <v/>
      </c>
      <c r="J12" s="6" t="inlineStr"/>
    </row>
    <row r="13">
      <c r="A13" s="8" t="inlineStr">
        <is>
          <t>Раздел 1 (подр. 1 стр. 030 / разд. 1 стр. 030)</t>
        </is>
      </c>
      <c r="B13" s="8" t="inlineStr">
        <is>
          <t>1 кв.</t>
        </is>
      </c>
      <c r="C13" s="9" t="n">
        <v>74287.25999999999</v>
      </c>
      <c r="D13" s="9" t="n">
        <v>81279</v>
      </c>
      <c r="E13" s="9">
        <f>D13-C13</f>
        <v/>
      </c>
      <c r="F13" s="9" t="n">
        <v>22286.18</v>
      </c>
      <c r="G13" s="9" t="n">
        <v>24383.7</v>
      </c>
      <c r="H13" s="9">
        <f>G13-F13</f>
        <v/>
      </c>
      <c r="I13" s="9">
        <f>G13-ROUND(D13*0.3,2)</f>
        <v/>
      </c>
      <c r="J13" s="8" t="inlineStr">
        <is>
          <t>Сводные суммы раздела 1.</t>
        </is>
      </c>
    </row>
    <row r="14">
      <c r="A14" s="4" t="inlineStr">
        <is>
          <t xml:space="preserve">  в т.ч. по месяцам (стр. 031–033)</t>
        </is>
      </c>
      <c r="B14" s="4" t="inlineStr">
        <is>
          <t>Январь</t>
        </is>
      </c>
      <c r="C14" s="5" t="n">
        <v>27093</v>
      </c>
      <c r="D14" s="5" t="n">
        <v>27093</v>
      </c>
      <c r="E14" s="5">
        <f>D14-C14</f>
        <v/>
      </c>
      <c r="F14" s="5" t="n">
        <v>8127.9</v>
      </c>
      <c r="G14" s="5" t="n">
        <v>8127.9</v>
      </c>
      <c r="H14" s="5">
        <f>G14-F14</f>
        <v/>
      </c>
      <c r="I14" s="5">
        <f>G14-ROUND(D14*0.3,2)</f>
        <v/>
      </c>
      <c r="J14" s="4" t="inlineStr"/>
    </row>
    <row r="15">
      <c r="A15" s="4" t="inlineStr"/>
      <c r="B15" s="4" t="inlineStr">
        <is>
          <t>Февраль</t>
        </is>
      </c>
      <c r="C15" s="5" t="n">
        <v>27093</v>
      </c>
      <c r="D15" s="5" t="n">
        <v>27093</v>
      </c>
      <c r="E15" s="5">
        <f>D15-C15</f>
        <v/>
      </c>
      <c r="F15" s="5" t="n">
        <v>8127.9</v>
      </c>
      <c r="G15" s="5" t="n">
        <v>8127.9</v>
      </c>
      <c r="H15" s="5">
        <f>G15-F15</f>
        <v/>
      </c>
      <c r="I15" s="5">
        <f>G15-ROUND(D15*0.3,2)</f>
        <v/>
      </c>
      <c r="J15" s="4" t="inlineStr"/>
    </row>
    <row r="16">
      <c r="A16" s="4" t="inlineStr"/>
      <c r="B16" s="4" t="inlineStr">
        <is>
          <t>Март</t>
        </is>
      </c>
      <c r="C16" s="5" t="n">
        <v>20101.26</v>
      </c>
      <c r="D16" s="5" t="n">
        <v>27093</v>
      </c>
      <c r="E16" s="5">
        <f>D16-C16</f>
        <v/>
      </c>
      <c r="F16" s="5" t="n">
        <v>6030.38</v>
      </c>
      <c r="G16" s="5" t="n">
        <v>8127.9</v>
      </c>
      <c r="H16" s="5">
        <f>G16-F16</f>
        <v/>
      </c>
      <c r="I16" s="5">
        <f>G16-ROUND(D16*0.3,2)</f>
        <v/>
      </c>
      <c r="J16" s="4" t="inlineStr"/>
    </row>
    <row r="17">
      <c r="A17" s="10" t="inlineStr">
        <is>
          <t>Контроль: раздел 1 − раздел 3</t>
        </is>
      </c>
      <c r="B17" s="10" t="inlineStr"/>
      <c r="C17" s="11">
        <f>C13-C12</f>
        <v/>
      </c>
      <c r="D17" s="11">
        <f>D13-D12</f>
        <v/>
      </c>
      <c r="E17" s="11">
        <f>D17-C17</f>
        <v/>
      </c>
      <c r="F17" s="11">
        <f>F13-F12</f>
        <v/>
      </c>
      <c r="G17" s="11">
        <f>G13-G12</f>
        <v/>
      </c>
      <c r="H17" s="11">
        <f>G17-F17</f>
        <v/>
      </c>
      <c r="I17" s="11">
        <f>G17-ROUND(D17*0.3,2)</f>
        <v/>
      </c>
      <c r="J17" s="10" t="inlineStr">
        <is>
          <t>0 — внутри каждого расчёта раздел 1 сходится с разделом 3.</t>
        </is>
      </c>
    </row>
    <row r="19">
      <c r="A19" s="12" t="inlineStr">
        <is>
          <t>Вывод по 1 кварталу:</t>
        </is>
      </c>
    </row>
    <row r="20">
      <c r="A20" t="inlineStr">
        <is>
          <t>1. Расхождение только по Лубковой Н.И. и только за март: выплаты +6 991,74 ₽, взносы +2 097,52 ₽ в уточнённом расчёте.</t>
        </is>
      </c>
    </row>
    <row r="21">
      <c r="A21" t="inlineStr">
        <is>
          <t>2. Январь и февраль, а также Баскова Н.П. в обоих расчётах совпадают.</t>
        </is>
      </c>
    </row>
    <row r="22">
      <c r="A22" t="inlineStr">
        <is>
          <t>3. В обоих расчётах взносы = 30% от выплат (арифметика верная).</t>
        </is>
      </c>
    </row>
    <row r="23">
      <c r="A23" t="inlineStr">
        <is>
          <t>4. Доплата взносов за март 2 097,52 ₽ — срок уплаты был 28.04.2026, на эту сумму начисляются пени.</t>
        </is>
      </c>
    </row>
    <row r="24">
      <c r="A24" t="inlineStr">
        <is>
          <t>5. Уточнённый расчёт подан с КПП 366201001 в ИФНС 3662, первичный — с КПП 366301001 в ИФНС 3663: проверьте, что так и должно быть.</t>
        </is>
      </c>
    </row>
  </sheetData>
  <conditionalFormatting sqref="E6">
    <cfRule type="cellIs" priority="1" operator="notBetween" dxfId="0">
      <formula>-0.005</formula>
      <formula>0.005</formula>
    </cfRule>
    <cfRule type="cellIs" priority="2" operator="between" dxfId="1">
      <formula>-0.005</formula>
      <formula>0.005</formula>
    </cfRule>
  </conditionalFormatting>
  <conditionalFormatting sqref="H6">
    <cfRule type="cellIs" priority="3" operator="notBetween" dxfId="0">
      <formula>-0.005</formula>
      <formula>0.005</formula>
    </cfRule>
    <cfRule type="cellIs" priority="4" operator="between" dxfId="1">
      <formula>-0.005</formula>
      <formula>0.005</formula>
    </cfRule>
  </conditionalFormatting>
  <conditionalFormatting sqref="I6">
    <cfRule type="cellIs" priority="5" operator="notBetween" dxfId="0">
      <formula>-0.005</formula>
      <formula>0.005</formula>
    </cfRule>
    <cfRule type="cellIs" priority="6" operator="between" dxfId="1">
      <formula>-0.005</formula>
      <formula>0.005</formula>
    </cfRule>
  </conditionalFormatting>
  <conditionalFormatting sqref="E7">
    <cfRule type="cellIs" priority="7" operator="notBetween" dxfId="0">
      <formula>-0.005</formula>
      <formula>0.005</formula>
    </cfRule>
    <cfRule type="cellIs" priority="8" operator="between" dxfId="1">
      <formula>-0.005</formula>
      <formula>0.005</formula>
    </cfRule>
  </conditionalFormatting>
  <conditionalFormatting sqref="H7">
    <cfRule type="cellIs" priority="9" operator="notBetween" dxfId="0">
      <formula>-0.005</formula>
      <formula>0.005</formula>
    </cfRule>
    <cfRule type="cellIs" priority="10" operator="between" dxfId="1">
      <formula>-0.005</formula>
      <formula>0.005</formula>
    </cfRule>
  </conditionalFormatting>
  <conditionalFormatting sqref="I7">
    <cfRule type="cellIs" priority="11" operator="notBetween" dxfId="0">
      <formula>-0.005</formula>
      <formula>0.005</formula>
    </cfRule>
    <cfRule type="cellIs" priority="12" operator="between" dxfId="1">
      <formula>-0.005</formula>
      <formula>0.005</formula>
    </cfRule>
  </conditionalFormatting>
  <conditionalFormatting sqref="E8">
    <cfRule type="cellIs" priority="13" operator="notBetween" dxfId="0">
      <formula>-0.005</formula>
      <formula>0.005</formula>
    </cfRule>
    <cfRule type="cellIs" priority="14" operator="between" dxfId="1">
      <formula>-0.005</formula>
      <formula>0.005</formula>
    </cfRule>
  </conditionalFormatting>
  <conditionalFormatting sqref="H8">
    <cfRule type="cellIs" priority="15" operator="notBetween" dxfId="0">
      <formula>-0.005</formula>
      <formula>0.005</formula>
    </cfRule>
    <cfRule type="cellIs" priority="16" operator="between" dxfId="1">
      <formula>-0.005</formula>
      <formula>0.005</formula>
    </cfRule>
  </conditionalFormatting>
  <conditionalFormatting sqref="I8">
    <cfRule type="cellIs" priority="17" operator="notBetween" dxfId="0">
      <formula>-0.005</formula>
      <formula>0.005</formula>
    </cfRule>
    <cfRule type="cellIs" priority="18" operator="between" dxfId="1">
      <formula>-0.005</formula>
      <formula>0.005</formula>
    </cfRule>
  </conditionalFormatting>
  <conditionalFormatting sqref="E9">
    <cfRule type="cellIs" priority="19" operator="notBetween" dxfId="0">
      <formula>-0.005</formula>
      <formula>0.005</formula>
    </cfRule>
    <cfRule type="cellIs" priority="20" operator="between" dxfId="1">
      <formula>-0.005</formula>
      <formula>0.005</formula>
    </cfRule>
  </conditionalFormatting>
  <conditionalFormatting sqref="H9">
    <cfRule type="cellIs" priority="21" operator="notBetween" dxfId="0">
      <formula>-0.005</formula>
      <formula>0.005</formula>
    </cfRule>
    <cfRule type="cellIs" priority="22" operator="between" dxfId="1">
      <formula>-0.005</formula>
      <formula>0.005</formula>
    </cfRule>
  </conditionalFormatting>
  <conditionalFormatting sqref="I9">
    <cfRule type="cellIs" priority="23" operator="notBetween" dxfId="0">
      <formula>-0.005</formula>
      <formula>0.005</formula>
    </cfRule>
    <cfRule type="cellIs" priority="24" operator="between" dxfId="1">
      <formula>-0.005</formula>
      <formula>0.005</formula>
    </cfRule>
  </conditionalFormatting>
  <conditionalFormatting sqref="E10">
    <cfRule type="cellIs" priority="25" operator="notBetween" dxfId="0">
      <formula>-0.005</formula>
      <formula>0.005</formula>
    </cfRule>
    <cfRule type="cellIs" priority="26" operator="between" dxfId="1">
      <formula>-0.005</formula>
      <formula>0.005</formula>
    </cfRule>
  </conditionalFormatting>
  <conditionalFormatting sqref="H10">
    <cfRule type="cellIs" priority="27" operator="notBetween" dxfId="0">
      <formula>-0.005</formula>
      <formula>0.005</formula>
    </cfRule>
    <cfRule type="cellIs" priority="28" operator="between" dxfId="1">
      <formula>-0.005</formula>
      <formula>0.005</formula>
    </cfRule>
  </conditionalFormatting>
  <conditionalFormatting sqref="I10">
    <cfRule type="cellIs" priority="29" operator="notBetween" dxfId="0">
      <formula>-0.005</formula>
      <formula>0.005</formula>
    </cfRule>
    <cfRule type="cellIs" priority="30" operator="between" dxfId="1">
      <formula>-0.005</formula>
      <formula>0.005</formula>
    </cfRule>
  </conditionalFormatting>
  <conditionalFormatting sqref="E11">
    <cfRule type="cellIs" priority="31" operator="notBetween" dxfId="0">
      <formula>-0.005</formula>
      <formula>0.005</formula>
    </cfRule>
    <cfRule type="cellIs" priority="32" operator="between" dxfId="1">
      <formula>-0.005</formula>
      <formula>0.005</formula>
    </cfRule>
  </conditionalFormatting>
  <conditionalFormatting sqref="H11">
    <cfRule type="cellIs" priority="33" operator="notBetween" dxfId="0">
      <formula>-0.005</formula>
      <formula>0.005</formula>
    </cfRule>
    <cfRule type="cellIs" priority="34" operator="between" dxfId="1">
      <formula>-0.005</formula>
      <formula>0.005</formula>
    </cfRule>
  </conditionalFormatting>
  <conditionalFormatting sqref="I11">
    <cfRule type="cellIs" priority="35" operator="notBetween" dxfId="0">
      <formula>-0.005</formula>
      <formula>0.005</formula>
    </cfRule>
    <cfRule type="cellIs" priority="36" operator="between" dxfId="1">
      <formula>-0.005</formula>
      <formula>0.005</formula>
    </cfRule>
  </conditionalFormatting>
  <conditionalFormatting sqref="E12">
    <cfRule type="cellIs" priority="37" operator="notBetween" dxfId="0">
      <formula>-0.005</formula>
      <formula>0.005</formula>
    </cfRule>
    <cfRule type="cellIs" priority="38" operator="between" dxfId="1">
      <formula>-0.005</formula>
      <formula>0.005</formula>
    </cfRule>
  </conditionalFormatting>
  <conditionalFormatting sqref="H12">
    <cfRule type="cellIs" priority="39" operator="notBetween" dxfId="0">
      <formula>-0.005</formula>
      <formula>0.005</formula>
    </cfRule>
    <cfRule type="cellIs" priority="40" operator="between" dxfId="1">
      <formula>-0.005</formula>
      <formula>0.005</formula>
    </cfRule>
  </conditionalFormatting>
  <conditionalFormatting sqref="I12">
    <cfRule type="cellIs" priority="41" operator="notBetween" dxfId="0">
      <formula>-0.005</formula>
      <formula>0.005</formula>
    </cfRule>
    <cfRule type="cellIs" priority="42" operator="between" dxfId="1">
      <formula>-0.005</formula>
      <formula>0.005</formula>
    </cfRule>
  </conditionalFormatting>
  <conditionalFormatting sqref="E13">
    <cfRule type="cellIs" priority="43" operator="notBetween" dxfId="0">
      <formula>-0.005</formula>
      <formula>0.005</formula>
    </cfRule>
    <cfRule type="cellIs" priority="44" operator="between" dxfId="1">
      <formula>-0.005</formula>
      <formula>0.005</formula>
    </cfRule>
  </conditionalFormatting>
  <conditionalFormatting sqref="H13">
    <cfRule type="cellIs" priority="45" operator="notBetween" dxfId="0">
      <formula>-0.005</formula>
      <formula>0.005</formula>
    </cfRule>
    <cfRule type="cellIs" priority="46" operator="between" dxfId="1">
      <formula>-0.005</formula>
      <formula>0.005</formula>
    </cfRule>
  </conditionalFormatting>
  <conditionalFormatting sqref="I13">
    <cfRule type="cellIs" priority="47" operator="notBetween" dxfId="0">
      <formula>-0.005</formula>
      <formula>0.005</formula>
    </cfRule>
    <cfRule type="cellIs" priority="48" operator="between" dxfId="1">
      <formula>-0.005</formula>
      <formula>0.005</formula>
    </cfRule>
  </conditionalFormatting>
  <conditionalFormatting sqref="E14">
    <cfRule type="cellIs" priority="49" operator="notBetween" dxfId="0">
      <formula>-0.005</formula>
      <formula>0.005</formula>
    </cfRule>
    <cfRule type="cellIs" priority="50" operator="between" dxfId="1">
      <formula>-0.005</formula>
      <formula>0.005</formula>
    </cfRule>
  </conditionalFormatting>
  <conditionalFormatting sqref="H14">
    <cfRule type="cellIs" priority="51" operator="notBetween" dxfId="0">
      <formula>-0.005</formula>
      <formula>0.005</formula>
    </cfRule>
    <cfRule type="cellIs" priority="52" operator="between" dxfId="1">
      <formula>-0.005</formula>
      <formula>0.005</formula>
    </cfRule>
  </conditionalFormatting>
  <conditionalFormatting sqref="I14">
    <cfRule type="cellIs" priority="53" operator="notBetween" dxfId="0">
      <formula>-0.005</formula>
      <formula>0.005</formula>
    </cfRule>
    <cfRule type="cellIs" priority="54" operator="between" dxfId="1">
      <formula>-0.005</formula>
      <formula>0.005</formula>
    </cfRule>
  </conditionalFormatting>
  <conditionalFormatting sqref="E15">
    <cfRule type="cellIs" priority="55" operator="notBetween" dxfId="0">
      <formula>-0.005</formula>
      <formula>0.005</formula>
    </cfRule>
    <cfRule type="cellIs" priority="56" operator="between" dxfId="1">
      <formula>-0.005</formula>
      <formula>0.005</formula>
    </cfRule>
  </conditionalFormatting>
  <conditionalFormatting sqref="H15">
    <cfRule type="cellIs" priority="57" operator="notBetween" dxfId="0">
      <formula>-0.005</formula>
      <formula>0.005</formula>
    </cfRule>
    <cfRule type="cellIs" priority="58" operator="between" dxfId="1">
      <formula>-0.005</formula>
      <formula>0.005</formula>
    </cfRule>
  </conditionalFormatting>
  <conditionalFormatting sqref="I15">
    <cfRule type="cellIs" priority="59" operator="notBetween" dxfId="0">
      <formula>-0.005</formula>
      <formula>0.005</formula>
    </cfRule>
    <cfRule type="cellIs" priority="60" operator="between" dxfId="1">
      <formula>-0.005</formula>
      <formula>0.005</formula>
    </cfRule>
  </conditionalFormatting>
  <conditionalFormatting sqref="E16">
    <cfRule type="cellIs" priority="61" operator="notBetween" dxfId="0">
      <formula>-0.005</formula>
      <formula>0.005</formula>
    </cfRule>
    <cfRule type="cellIs" priority="62" operator="between" dxfId="1">
      <formula>-0.005</formula>
      <formula>0.005</formula>
    </cfRule>
  </conditionalFormatting>
  <conditionalFormatting sqref="H16">
    <cfRule type="cellIs" priority="63" operator="notBetween" dxfId="0">
      <formula>-0.005</formula>
      <formula>0.005</formula>
    </cfRule>
    <cfRule type="cellIs" priority="64" operator="between" dxfId="1">
      <formula>-0.005</formula>
      <formula>0.005</formula>
    </cfRule>
  </conditionalFormatting>
  <conditionalFormatting sqref="I16">
    <cfRule type="cellIs" priority="65" operator="notBetween" dxfId="0">
      <formula>-0.005</formula>
      <formula>0.005</formula>
    </cfRule>
    <cfRule type="cellIs" priority="66" operator="between" dxfId="1">
      <formula>-0.005</formula>
      <formula>0.005</formula>
    </cfRule>
  </conditionalFormatting>
  <conditionalFormatting sqref="E17">
    <cfRule type="cellIs" priority="67" operator="notBetween" dxfId="0">
      <formula>-0.005</formula>
      <formula>0.005</formula>
    </cfRule>
    <cfRule type="cellIs" priority="68" operator="between" dxfId="1">
      <formula>-0.005</formula>
      <formula>0.005</formula>
    </cfRule>
  </conditionalFormatting>
  <conditionalFormatting sqref="H17">
    <cfRule type="cellIs" priority="69" operator="notBetween" dxfId="0">
      <formula>-0.005</formula>
      <formula>0.005</formula>
    </cfRule>
    <cfRule type="cellIs" priority="70" operator="between" dxfId="1">
      <formula>-0.005</formula>
      <formula>0.005</formula>
    </cfRule>
  </conditionalFormatting>
  <conditionalFormatting sqref="I17">
    <cfRule type="cellIs" priority="71" operator="notBetween" dxfId="0">
      <formula>-0.005</formula>
      <formula>0.005</formula>
    </cfRule>
    <cfRule type="cellIs" priority="72" operator="between" dxfId="1">
      <formula>-0.005</formula>
      <formula>0.005</formula>
    </cfRule>
  </conditionalFormatting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</cols>
  <sheetData>
    <row r="1">
      <c r="A1" s="1" t="inlineStr">
        <is>
          <t>РСВ за полугодие 2026 г.: поданный расчёт и данные с учётом уточнения за 1 квартал — по сотрудникам</t>
        </is>
      </c>
    </row>
    <row r="2">
      <c r="A2" s="2" t="inlineStr">
        <is>
          <t>ООО «Легкие деньки», ИНН 3663129244, тариф 01 (30%)</t>
        </is>
      </c>
    </row>
    <row r="3">
      <c r="A3" s="2" t="inlineStr">
        <is>
          <t>РСВ за полугодие: корр. 0 от 24.07.2026. Уточнённого РСВ за полугодие нет — колонка «должно быть» показывает, каким он должен быть.</t>
        </is>
      </c>
    </row>
    <row r="4">
      <c r="A4" s="2" t="inlineStr">
        <is>
          <t>Разд. 3 РСВ за полугодие содержит только апрель–июнь; 1 кв. внутри него (разд. 1: 169 770,03 − 95 482,77 = 74 287,26 ₽) равен первичному РСВ за 1 кв., поэтому помесячно январь–март взяты из первичного РСВ за 1 кв.</t>
        </is>
      </c>
    </row>
    <row r="6" ht="62" customHeight="1">
      <c r="A6" s="3" t="inlineStr">
        <is>
          <t>Сотрудник</t>
        </is>
      </c>
      <c r="B6" s="3" t="inlineStr">
        <is>
          <t>Месяц</t>
        </is>
      </c>
      <c r="C6" s="3" t="inlineStr">
        <is>
          <t>Выплаты: РСВ п/г (подан)</t>
        </is>
      </c>
      <c r="D6" s="3" t="inlineStr">
        <is>
          <t>Выплаты: должно быть</t>
        </is>
      </c>
      <c r="E6" s="3" t="inlineStr">
        <is>
          <t>Разница выплат (должно быть − РСВ п/г (подан))</t>
        </is>
      </c>
      <c r="F6" s="3" t="inlineStr">
        <is>
          <t>Взносы: РСВ п/г (подан)</t>
        </is>
      </c>
      <c r="G6" s="3" t="inlineStr">
        <is>
          <t>Взносы: должно быть</t>
        </is>
      </c>
      <c r="H6" s="3" t="inlineStr">
        <is>
          <t>Разница взносов (должно быть − РСВ п/г (подан))</t>
        </is>
      </c>
      <c r="I6" s="3" t="inlineStr">
        <is>
          <t>Проверка: взносы должно быть − 30% от выплат</t>
        </is>
      </c>
      <c r="J6" s="3" t="inlineStr">
        <is>
          <t>Комментарий</t>
        </is>
      </c>
    </row>
    <row r="7">
      <c r="A7" s="4" t="inlineStr">
        <is>
          <t>Лубкова Наталья Ивановна</t>
        </is>
      </c>
      <c r="B7" s="4" t="inlineStr">
        <is>
          <t>Январь</t>
        </is>
      </c>
      <c r="C7" s="5" t="n">
        <v>27093</v>
      </c>
      <c r="D7" s="5" t="n">
        <v>27093</v>
      </c>
      <c r="E7" s="5">
        <f>D7-C7</f>
        <v/>
      </c>
      <c r="F7" s="5" t="n">
        <v>8127.9</v>
      </c>
      <c r="G7" s="5" t="n">
        <v>8127.9</v>
      </c>
      <c r="H7" s="5">
        <f>G7-F7</f>
        <v/>
      </c>
      <c r="I7" s="5">
        <f>G7-ROUND(D7*0.3,2)</f>
        <v/>
      </c>
      <c r="J7" s="4" t="inlineStr"/>
    </row>
    <row r="8">
      <c r="A8" s="4" t="inlineStr"/>
      <c r="B8" s="4" t="inlineStr">
        <is>
          <t>Февраль</t>
        </is>
      </c>
      <c r="C8" s="5" t="n">
        <v>27093</v>
      </c>
      <c r="D8" s="5" t="n">
        <v>27093</v>
      </c>
      <c r="E8" s="5">
        <f>D8-C8</f>
        <v/>
      </c>
      <c r="F8" s="5" t="n">
        <v>8127.9</v>
      </c>
      <c r="G8" s="5" t="n">
        <v>8127.9</v>
      </c>
      <c r="H8" s="5">
        <f>G8-F8</f>
        <v/>
      </c>
      <c r="I8" s="5">
        <f>G8-ROUND(D8*0.3,2)</f>
        <v/>
      </c>
      <c r="J8" s="4" t="inlineStr"/>
    </row>
    <row r="9">
      <c r="A9" s="4" t="inlineStr"/>
      <c r="B9" s="4" t="inlineStr">
        <is>
          <t>Март</t>
        </is>
      </c>
      <c r="C9" s="5" t="n">
        <v>20101.26</v>
      </c>
      <c r="D9" s="5" t="n">
        <v>27093</v>
      </c>
      <c r="E9" s="5">
        <f>D9-C9</f>
        <v/>
      </c>
      <c r="F9" s="5" t="n">
        <v>6030.38</v>
      </c>
      <c r="G9" s="5" t="n">
        <v>8127.9</v>
      </c>
      <c r="H9" s="5">
        <f>G9-F9</f>
        <v/>
      </c>
      <c r="I9" s="5">
        <f>G9-ROUND(D9*0.3,2)</f>
        <v/>
      </c>
      <c r="J9" s="4" t="inlineStr">
        <is>
          <t>В РСВ за полугодие остались данные первичного РСВ за 1 кв.; уточнение за 1 кв. (08.09.2026) подано позже.</t>
        </is>
      </c>
    </row>
    <row r="10">
      <c r="A10" s="6" t="inlineStr">
        <is>
          <t>Итого Лубкова</t>
        </is>
      </c>
      <c r="B10" s="6" t="inlineStr"/>
      <c r="C10" s="7">
        <f>SUM(C7:C9)</f>
        <v/>
      </c>
      <c r="D10" s="7">
        <f>SUM(D7:D9)</f>
        <v/>
      </c>
      <c r="E10" s="7">
        <f>D10-C10</f>
        <v/>
      </c>
      <c r="F10" s="7">
        <f>SUM(F7:F9)</f>
        <v/>
      </c>
      <c r="G10" s="7">
        <f>SUM(G7:G9)</f>
        <v/>
      </c>
      <c r="H10" s="7">
        <f>G10-F10</f>
        <v/>
      </c>
      <c r="I10" s="7">
        <f>G10-ROUND(D10*0.3,2)</f>
        <v/>
      </c>
      <c r="J10" s="6" t="inlineStr"/>
    </row>
    <row r="11">
      <c r="A11" s="4" t="inlineStr">
        <is>
          <t>Троянова Екатерина Викторовна</t>
        </is>
      </c>
      <c r="B11" s="4" t="inlineStr">
        <is>
          <t>Апрель</t>
        </is>
      </c>
      <c r="C11" s="5" t="n">
        <v>19868.2</v>
      </c>
      <c r="D11" s="5" t="n">
        <v>19868.2</v>
      </c>
      <c r="E11" s="5">
        <f>D11-C11</f>
        <v/>
      </c>
      <c r="F11" s="5" t="n">
        <v>5960.46</v>
      </c>
      <c r="G11" s="5" t="n">
        <v>5960.46</v>
      </c>
      <c r="H11" s="5">
        <f>G11-F11</f>
        <v/>
      </c>
      <c r="I11" s="5">
        <f>G11-ROUND(D11*0.3,2)</f>
        <v/>
      </c>
      <c r="J11" s="4" t="inlineStr">
        <is>
          <t>Меньше МРОТ — проверить неполное время / неполный месяц.</t>
        </is>
      </c>
    </row>
    <row r="12">
      <c r="A12" s="4" t="inlineStr"/>
      <c r="B12" s="4" t="inlineStr">
        <is>
          <t>Май</t>
        </is>
      </c>
      <c r="C12" s="5" t="n">
        <v>27093</v>
      </c>
      <c r="D12" s="5" t="n">
        <v>27093</v>
      </c>
      <c r="E12" s="5">
        <f>D12-C12</f>
        <v/>
      </c>
      <c r="F12" s="5" t="n">
        <v>8127.9</v>
      </c>
      <c r="G12" s="5" t="n">
        <v>8127.9</v>
      </c>
      <c r="H12" s="5">
        <f>G12-F12</f>
        <v/>
      </c>
      <c r="I12" s="5">
        <f>G12-ROUND(D12*0.3,2)</f>
        <v/>
      </c>
      <c r="J12" s="4" t="inlineStr"/>
    </row>
    <row r="13">
      <c r="A13" s="4" t="inlineStr"/>
      <c r="B13" s="4" t="inlineStr">
        <is>
          <t>Июнь</t>
        </is>
      </c>
      <c r="C13" s="5" t="n">
        <v>27093</v>
      </c>
      <c r="D13" s="5" t="n">
        <v>27093</v>
      </c>
      <c r="E13" s="5">
        <f>D13-C13</f>
        <v/>
      </c>
      <c r="F13" s="5" t="n">
        <v>8127.9</v>
      </c>
      <c r="G13" s="5" t="n">
        <v>8127.9</v>
      </c>
      <c r="H13" s="5">
        <f>G13-F13</f>
        <v/>
      </c>
      <c r="I13" s="5">
        <f>G13-ROUND(D13*0.3,2)</f>
        <v/>
      </c>
      <c r="J13" s="4" t="inlineStr"/>
    </row>
    <row r="14">
      <c r="A14" s="6" t="inlineStr">
        <is>
          <t>Итого Троянова</t>
        </is>
      </c>
      <c r="B14" s="6" t="inlineStr"/>
      <c r="C14" s="7">
        <f>SUM(C11:C13)</f>
        <v/>
      </c>
      <c r="D14" s="7">
        <f>SUM(D11:D13)</f>
        <v/>
      </c>
      <c r="E14" s="7">
        <f>D14-C14</f>
        <v/>
      </c>
      <c r="F14" s="7">
        <f>SUM(F11:F13)</f>
        <v/>
      </c>
      <c r="G14" s="7">
        <f>SUM(G11:G13)</f>
        <v/>
      </c>
      <c r="H14" s="7">
        <f>G14-F14</f>
        <v/>
      </c>
      <c r="I14" s="7">
        <f>G14-ROUND(D14*0.3,2)</f>
        <v/>
      </c>
      <c r="J14" s="6" t="inlineStr"/>
    </row>
    <row r="15">
      <c r="A15" s="4" t="inlineStr">
        <is>
          <t>Денисова Александра Валерьевна</t>
        </is>
      </c>
      <c r="B15" s="4" t="inlineStr">
        <is>
          <t>Июнь</t>
        </is>
      </c>
      <c r="C15" s="5" t="n">
        <v>21428.57</v>
      </c>
      <c r="D15" s="5" t="n">
        <v>21428.57</v>
      </c>
      <c r="E15" s="5">
        <f>D15-C15</f>
        <v/>
      </c>
      <c r="F15" s="5" t="n">
        <v>6428.57</v>
      </c>
      <c r="G15" s="5" t="n">
        <v>6428.57</v>
      </c>
      <c r="H15" s="5">
        <f>G15-F15</f>
        <v/>
      </c>
      <c r="I15" s="5">
        <f>G15-ROUND(D15*0.3,2)</f>
        <v/>
      </c>
      <c r="J15" s="4" t="inlineStr">
        <is>
          <t>Принята в июне (30 000 × 15/21 раб. дн.).</t>
        </is>
      </c>
    </row>
    <row r="16">
      <c r="A16" s="6" t="inlineStr">
        <is>
          <t>Итого Денисова</t>
        </is>
      </c>
      <c r="B16" s="6" t="inlineStr"/>
      <c r="C16" s="7">
        <f>SUM(C15:C15)</f>
        <v/>
      </c>
      <c r="D16" s="7">
        <f>SUM(D15:D15)</f>
        <v/>
      </c>
      <c r="E16" s="7">
        <f>D16-C16</f>
        <v/>
      </c>
      <c r="F16" s="7">
        <f>SUM(F15:F15)</f>
        <v/>
      </c>
      <c r="G16" s="7">
        <f>SUM(G15:G15)</f>
        <v/>
      </c>
      <c r="H16" s="7">
        <f>G16-F16</f>
        <v/>
      </c>
      <c r="I16" s="7">
        <f>G16-ROUND(D16*0.3,2)</f>
        <v/>
      </c>
      <c r="J16" s="6" t="inlineStr"/>
    </row>
    <row r="17">
      <c r="A17" s="4" t="inlineStr">
        <is>
          <t>Баскова Неонила Павловна</t>
        </is>
      </c>
      <c r="B17" s="4" t="inlineStr">
        <is>
          <t>Январь</t>
        </is>
      </c>
      <c r="C17" s="5" t="n">
        <v>0</v>
      </c>
      <c r="D17" s="5" t="n">
        <v>0</v>
      </c>
      <c r="E17" s="5">
        <f>D17-C17</f>
        <v/>
      </c>
      <c r="F17" s="5" t="n">
        <v>0</v>
      </c>
      <c r="G17" s="5" t="n">
        <v>0</v>
      </c>
      <c r="H17" s="5">
        <f>G17-F17</f>
        <v/>
      </c>
      <c r="I17" s="5">
        <f>G17-ROUND(D17*0.3,2)</f>
        <v/>
      </c>
      <c r="J17" s="4" t="inlineStr">
        <is>
          <t>Выплат нет.</t>
        </is>
      </c>
    </row>
    <row r="18">
      <c r="A18" s="6" t="inlineStr">
        <is>
          <t>Итого Баскова</t>
        </is>
      </c>
      <c r="B18" s="6" t="inlineStr"/>
      <c r="C18" s="7">
        <f>SUM(C17:C17)</f>
        <v/>
      </c>
      <c r="D18" s="7">
        <f>SUM(D17:D17)</f>
        <v/>
      </c>
      <c r="E18" s="7">
        <f>D18-C18</f>
        <v/>
      </c>
      <c r="F18" s="7">
        <f>SUM(F17:F17)</f>
        <v/>
      </c>
      <c r="G18" s="7">
        <f>SUM(G17:G17)</f>
        <v/>
      </c>
      <c r="H18" s="7">
        <f>G18-F18</f>
        <v/>
      </c>
      <c r="I18" s="7">
        <f>G18-ROUND(D18*0.3,2)</f>
        <v/>
      </c>
      <c r="J18" s="6" t="inlineStr"/>
    </row>
    <row r="19">
      <c r="A19" s="6" t="inlineStr">
        <is>
          <t>ИТОГО по сотрудникам</t>
        </is>
      </c>
      <c r="B19" s="6" t="inlineStr">
        <is>
          <t>п/г</t>
        </is>
      </c>
      <c r="C19" s="7">
        <f>C10+C14+C16+C18</f>
        <v/>
      </c>
      <c r="D19" s="7">
        <f>D10+D14+D16+D18</f>
        <v/>
      </c>
      <c r="E19" s="7">
        <f>D19-C19</f>
        <v/>
      </c>
      <c r="F19" s="7">
        <f>F10+F14+F16+F18</f>
        <v/>
      </c>
      <c r="G19" s="7">
        <f>G10+G14+G16+G18</f>
        <v/>
      </c>
      <c r="H19" s="7">
        <f>G19-F19</f>
        <v/>
      </c>
      <c r="I19" s="7">
        <f>G19-ROUND(D19*0.3,2)</f>
        <v/>
      </c>
      <c r="J19" s="6" t="inlineStr"/>
    </row>
    <row r="20">
      <c r="A20" s="8" t="inlineStr">
        <is>
          <t>Раздел 1 РСВ за полугодие (стр. 030)</t>
        </is>
      </c>
      <c r="B20" s="8" t="inlineStr">
        <is>
          <t>п/г</t>
        </is>
      </c>
      <c r="C20" s="9" t="n">
        <v>169770.03</v>
      </c>
      <c r="D20" s="9" t="n">
        <v>176761.77</v>
      </c>
      <c r="E20" s="9">
        <f>D20-C20</f>
        <v/>
      </c>
      <c r="F20" s="9" t="n">
        <v>50931.01</v>
      </c>
      <c r="G20" s="9" t="n">
        <v>53028.53</v>
      </c>
      <c r="H20" s="9">
        <f>G20-F20</f>
        <v/>
      </c>
      <c r="I20" s="9">
        <f>G20-ROUND(D20*0.3,2)</f>
        <v/>
      </c>
      <c r="J20" s="8" t="inlineStr">
        <is>
          <t>«Должно быть» = уточнённый 1 кв. (81 279,00 / 24 383,70) + 2 кв. (95 482,77 / 28 644,83).</t>
        </is>
      </c>
    </row>
    <row r="21">
      <c r="A21" s="10" t="inlineStr">
        <is>
          <t>Контроль: раздел 1 − сумма по сотрудникам</t>
        </is>
      </c>
      <c r="B21" s="10" t="inlineStr"/>
      <c r="C21" s="11">
        <f>C20-C19</f>
        <v/>
      </c>
      <c r="D21" s="11">
        <f>D20-D19</f>
        <v/>
      </c>
      <c r="E21" s="11">
        <f>D21-C21</f>
        <v/>
      </c>
      <c r="F21" s="11">
        <f>F20-F19</f>
        <v/>
      </c>
      <c r="G21" s="11">
        <f>G20-G19</f>
        <v/>
      </c>
      <c r="H21" s="11">
        <f>G21-F21</f>
        <v/>
      </c>
      <c r="I21" s="11">
        <f>G21-ROUND(D21*0.3,2)</f>
        <v/>
      </c>
      <c r="J21" s="10" t="inlineStr"/>
    </row>
    <row r="23">
      <c r="A23" s="13" t="inlineStr">
        <is>
          <t>Свод по кварталам</t>
        </is>
      </c>
    </row>
    <row r="24" ht="62" customHeight="1">
      <c r="A24" s="3" t="inlineStr">
        <is>
          <t>Сотрудник</t>
        </is>
      </c>
      <c r="B24" s="3" t="inlineStr">
        <is>
          <t>Месяц</t>
        </is>
      </c>
      <c r="C24" s="3" t="inlineStr">
        <is>
          <t>Выплаты: РСВ п/г (подан)</t>
        </is>
      </c>
      <c r="D24" s="3" t="inlineStr">
        <is>
          <t>Выплаты: должно быть</t>
        </is>
      </c>
      <c r="E24" s="3" t="inlineStr">
        <is>
          <t>Разница выплат (должно быть − РСВ п/г (подан))</t>
        </is>
      </c>
      <c r="F24" s="3" t="inlineStr">
        <is>
          <t>Взносы: РСВ п/г (подан)</t>
        </is>
      </c>
      <c r="G24" s="3" t="inlineStr">
        <is>
          <t>Взносы: должно быть</t>
        </is>
      </c>
      <c r="H24" s="3" t="inlineStr">
        <is>
          <t>Разница взносов (должно быть − РСВ п/г (подан))</t>
        </is>
      </c>
      <c r="I24" s="3" t="inlineStr">
        <is>
          <t>Проверка: взносы должно быть − 30% от выплат</t>
        </is>
      </c>
      <c r="J24" s="3" t="inlineStr">
        <is>
          <t>Комментарий</t>
        </is>
      </c>
    </row>
    <row r="25">
      <c r="A25" s="4" t="inlineStr">
        <is>
          <t>1 квартал</t>
        </is>
      </c>
      <c r="B25" s="4" t="inlineStr">
        <is>
          <t>янв–мар</t>
        </is>
      </c>
      <c r="C25" s="5" t="n">
        <v>74287.25999999999</v>
      </c>
      <c r="D25" s="5" t="n">
        <v>81279</v>
      </c>
      <c r="E25" s="5">
        <f>D25-C25</f>
        <v/>
      </c>
      <c r="F25" s="5" t="n">
        <v>22286.18</v>
      </c>
      <c r="G25" s="5" t="n">
        <v>24383.7</v>
      </c>
      <c r="H25" s="5">
        <f>G25-F25</f>
        <v/>
      </c>
      <c r="I25" s="5">
        <f>G25-ROUND(D25*0.3,2)</f>
        <v/>
      </c>
      <c r="J25" s="4" t="inlineStr">
        <is>
          <t>Расхождение — Лубкова, март.</t>
        </is>
      </c>
    </row>
    <row r="26">
      <c r="A26" s="4" t="inlineStr">
        <is>
          <t>2 квартал</t>
        </is>
      </c>
      <c r="B26" s="4" t="inlineStr">
        <is>
          <t>апр–июн</t>
        </is>
      </c>
      <c r="C26" s="5" t="n">
        <v>95482.77</v>
      </c>
      <c r="D26" s="5" t="n">
        <v>95482.77</v>
      </c>
      <c r="E26" s="5">
        <f>D26-C26</f>
        <v/>
      </c>
      <c r="F26" s="5" t="n">
        <v>28644.83</v>
      </c>
      <c r="G26" s="5" t="n">
        <v>28644.83</v>
      </c>
      <c r="H26" s="5">
        <f>G26-F26</f>
        <v/>
      </c>
      <c r="I26" s="5">
        <f>G26-ROUND(D26*0.3,2)</f>
        <v/>
      </c>
      <c r="J26" s="4" t="inlineStr">
        <is>
          <t>Совпадает.</t>
        </is>
      </c>
    </row>
    <row r="27">
      <c r="A27" s="6" t="inlineStr">
        <is>
          <t>Полугодие</t>
        </is>
      </c>
      <c r="B27" s="6" t="inlineStr"/>
      <c r="C27" s="7">
        <f>C25+C26</f>
        <v/>
      </c>
      <c r="D27" s="7">
        <f>D25+D26</f>
        <v/>
      </c>
      <c r="E27" s="7">
        <f>D27-C27</f>
        <v/>
      </c>
      <c r="F27" s="7">
        <f>F25+F26</f>
        <v/>
      </c>
      <c r="G27" s="7">
        <f>G25+G26</f>
        <v/>
      </c>
      <c r="H27" s="7">
        <f>G27-F27</f>
        <v/>
      </c>
      <c r="I27" s="7">
        <f>G27-ROUND(D27*0.3,2)</f>
        <v/>
      </c>
      <c r="J27" s="6" t="inlineStr"/>
    </row>
    <row r="29">
      <c r="A29" s="12" t="inlineStr">
        <is>
          <t>Вывод по полугодию:</t>
        </is>
      </c>
    </row>
    <row r="30">
      <c r="A30" t="inlineStr">
        <is>
          <t>1. РСВ за полугодие сдан 24.07.2026 на данных первичного РСВ за 1 кв.; после уточнения 1 кв. (08.09.2026) он с ним не сходится.</t>
        </is>
      </c>
    </row>
    <row r="31">
      <c r="A31" t="inlineStr">
        <is>
          <t>2. Расхождение: выплаты 6 991,74 ₽, взносы 2 097,52 ₽ — Лубкова Н.И., март. Апрель–июнь (Троянова, Денисова) сходятся.</t>
        </is>
      </c>
    </row>
    <row r="32">
      <c r="A32" t="inlineStr">
        <is>
          <t>3. Нужен уточнённый РСВ за полугодие: стр. 030 разд. 1 — 53 028,53 ₽ вместо 50 931,01 ₽; подр. 1 стр. 030/050 — 176 761,77 ₽ вместо 169 770,03 ₽. Строки 031–033 и разд. 3 (апрель–июнь) не меняются.</t>
        </is>
      </c>
    </row>
    <row r="33">
      <c r="A33" t="inlineStr">
        <is>
          <t>4. Иначе ФНС увидит несоответствие нарастающего итога (1 кв. в РСВ за полугодие ≠ уточнённому РСВ за 1 кв.) и пришлёт требование.</t>
        </is>
      </c>
    </row>
  </sheetData>
  <conditionalFormatting sqref="E7">
    <cfRule type="cellIs" priority="1" operator="notBetween" dxfId="0">
      <formula>-0.005</formula>
      <formula>0.005</formula>
    </cfRule>
    <cfRule type="cellIs" priority="2" operator="between" dxfId="1">
      <formula>-0.005</formula>
      <formula>0.005</formula>
    </cfRule>
  </conditionalFormatting>
  <conditionalFormatting sqref="H7">
    <cfRule type="cellIs" priority="3" operator="notBetween" dxfId="0">
      <formula>-0.005</formula>
      <formula>0.005</formula>
    </cfRule>
    <cfRule type="cellIs" priority="4" operator="between" dxfId="1">
      <formula>-0.005</formula>
      <formula>0.005</formula>
    </cfRule>
  </conditionalFormatting>
  <conditionalFormatting sqref="I7">
    <cfRule type="cellIs" priority="5" operator="notBetween" dxfId="0">
      <formula>-0.005</formula>
      <formula>0.005</formula>
    </cfRule>
    <cfRule type="cellIs" priority="6" operator="between" dxfId="1">
      <formula>-0.005</formula>
      <formula>0.005</formula>
    </cfRule>
  </conditionalFormatting>
  <conditionalFormatting sqref="E8">
    <cfRule type="cellIs" priority="7" operator="notBetween" dxfId="0">
      <formula>-0.005</formula>
      <formula>0.005</formula>
    </cfRule>
    <cfRule type="cellIs" priority="8" operator="between" dxfId="1">
      <formula>-0.005</formula>
      <formula>0.005</formula>
    </cfRule>
  </conditionalFormatting>
  <conditionalFormatting sqref="H8">
    <cfRule type="cellIs" priority="9" operator="notBetween" dxfId="0">
      <formula>-0.005</formula>
      <formula>0.005</formula>
    </cfRule>
    <cfRule type="cellIs" priority="10" operator="between" dxfId="1">
      <formula>-0.005</formula>
      <formula>0.005</formula>
    </cfRule>
  </conditionalFormatting>
  <conditionalFormatting sqref="I8">
    <cfRule type="cellIs" priority="11" operator="notBetween" dxfId="0">
      <formula>-0.005</formula>
      <formula>0.005</formula>
    </cfRule>
    <cfRule type="cellIs" priority="12" operator="between" dxfId="1">
      <formula>-0.005</formula>
      <formula>0.005</formula>
    </cfRule>
  </conditionalFormatting>
  <conditionalFormatting sqref="E9">
    <cfRule type="cellIs" priority="13" operator="notBetween" dxfId="0">
      <formula>-0.005</formula>
      <formula>0.005</formula>
    </cfRule>
    <cfRule type="cellIs" priority="14" operator="between" dxfId="1">
      <formula>-0.005</formula>
      <formula>0.005</formula>
    </cfRule>
  </conditionalFormatting>
  <conditionalFormatting sqref="H9">
    <cfRule type="cellIs" priority="15" operator="notBetween" dxfId="0">
      <formula>-0.005</formula>
      <formula>0.005</formula>
    </cfRule>
    <cfRule type="cellIs" priority="16" operator="between" dxfId="1">
      <formula>-0.005</formula>
      <formula>0.005</formula>
    </cfRule>
  </conditionalFormatting>
  <conditionalFormatting sqref="I9">
    <cfRule type="cellIs" priority="17" operator="notBetween" dxfId="0">
      <formula>-0.005</formula>
      <formula>0.005</formula>
    </cfRule>
    <cfRule type="cellIs" priority="18" operator="between" dxfId="1">
      <formula>-0.005</formula>
      <formula>0.005</formula>
    </cfRule>
  </conditionalFormatting>
  <conditionalFormatting sqref="E10">
    <cfRule type="cellIs" priority="19" operator="notBetween" dxfId="0">
      <formula>-0.005</formula>
      <formula>0.005</formula>
    </cfRule>
    <cfRule type="cellIs" priority="20" operator="between" dxfId="1">
      <formula>-0.005</formula>
      <formula>0.005</formula>
    </cfRule>
  </conditionalFormatting>
  <conditionalFormatting sqref="H10">
    <cfRule type="cellIs" priority="21" operator="notBetween" dxfId="0">
      <formula>-0.005</formula>
      <formula>0.005</formula>
    </cfRule>
    <cfRule type="cellIs" priority="22" operator="between" dxfId="1">
      <formula>-0.005</formula>
      <formula>0.005</formula>
    </cfRule>
  </conditionalFormatting>
  <conditionalFormatting sqref="I10">
    <cfRule type="cellIs" priority="23" operator="notBetween" dxfId="0">
      <formula>-0.005</formula>
      <formula>0.005</formula>
    </cfRule>
    <cfRule type="cellIs" priority="24" operator="between" dxfId="1">
      <formula>-0.005</formula>
      <formula>0.005</formula>
    </cfRule>
  </conditionalFormatting>
  <conditionalFormatting sqref="E11">
    <cfRule type="cellIs" priority="25" operator="notBetween" dxfId="0">
      <formula>-0.005</formula>
      <formula>0.005</formula>
    </cfRule>
    <cfRule type="cellIs" priority="26" operator="between" dxfId="1">
      <formula>-0.005</formula>
      <formula>0.005</formula>
    </cfRule>
  </conditionalFormatting>
  <conditionalFormatting sqref="H11">
    <cfRule type="cellIs" priority="27" operator="notBetween" dxfId="0">
      <formula>-0.005</formula>
      <formula>0.005</formula>
    </cfRule>
    <cfRule type="cellIs" priority="28" operator="between" dxfId="1">
      <formula>-0.005</formula>
      <formula>0.005</formula>
    </cfRule>
  </conditionalFormatting>
  <conditionalFormatting sqref="I11">
    <cfRule type="cellIs" priority="29" operator="notBetween" dxfId="0">
      <formula>-0.005</formula>
      <formula>0.005</formula>
    </cfRule>
    <cfRule type="cellIs" priority="30" operator="between" dxfId="1">
      <formula>-0.005</formula>
      <formula>0.005</formula>
    </cfRule>
  </conditionalFormatting>
  <conditionalFormatting sqref="E12">
    <cfRule type="cellIs" priority="31" operator="notBetween" dxfId="0">
      <formula>-0.005</formula>
      <formula>0.005</formula>
    </cfRule>
    <cfRule type="cellIs" priority="32" operator="between" dxfId="1">
      <formula>-0.005</formula>
      <formula>0.005</formula>
    </cfRule>
  </conditionalFormatting>
  <conditionalFormatting sqref="H12">
    <cfRule type="cellIs" priority="33" operator="notBetween" dxfId="0">
      <formula>-0.005</formula>
      <formula>0.005</formula>
    </cfRule>
    <cfRule type="cellIs" priority="34" operator="between" dxfId="1">
      <formula>-0.005</formula>
      <formula>0.005</formula>
    </cfRule>
  </conditionalFormatting>
  <conditionalFormatting sqref="I12">
    <cfRule type="cellIs" priority="35" operator="notBetween" dxfId="0">
      <formula>-0.005</formula>
      <formula>0.005</formula>
    </cfRule>
    <cfRule type="cellIs" priority="36" operator="between" dxfId="1">
      <formula>-0.005</formula>
      <formula>0.005</formula>
    </cfRule>
  </conditionalFormatting>
  <conditionalFormatting sqref="E13">
    <cfRule type="cellIs" priority="37" operator="notBetween" dxfId="0">
      <formula>-0.005</formula>
      <formula>0.005</formula>
    </cfRule>
    <cfRule type="cellIs" priority="38" operator="between" dxfId="1">
      <formula>-0.005</formula>
      <formula>0.005</formula>
    </cfRule>
  </conditionalFormatting>
  <conditionalFormatting sqref="H13">
    <cfRule type="cellIs" priority="39" operator="notBetween" dxfId="0">
      <formula>-0.005</formula>
      <formula>0.005</formula>
    </cfRule>
    <cfRule type="cellIs" priority="40" operator="between" dxfId="1">
      <formula>-0.005</formula>
      <formula>0.005</formula>
    </cfRule>
  </conditionalFormatting>
  <conditionalFormatting sqref="I13">
    <cfRule type="cellIs" priority="41" operator="notBetween" dxfId="0">
      <formula>-0.005</formula>
      <formula>0.005</formula>
    </cfRule>
    <cfRule type="cellIs" priority="42" operator="between" dxfId="1">
      <formula>-0.005</formula>
      <formula>0.005</formula>
    </cfRule>
  </conditionalFormatting>
  <conditionalFormatting sqref="E14">
    <cfRule type="cellIs" priority="43" operator="notBetween" dxfId="0">
      <formula>-0.005</formula>
      <formula>0.005</formula>
    </cfRule>
    <cfRule type="cellIs" priority="44" operator="between" dxfId="1">
      <formula>-0.005</formula>
      <formula>0.005</formula>
    </cfRule>
  </conditionalFormatting>
  <conditionalFormatting sqref="H14">
    <cfRule type="cellIs" priority="45" operator="notBetween" dxfId="0">
      <formula>-0.005</formula>
      <formula>0.005</formula>
    </cfRule>
    <cfRule type="cellIs" priority="46" operator="between" dxfId="1">
      <formula>-0.005</formula>
      <formula>0.005</formula>
    </cfRule>
  </conditionalFormatting>
  <conditionalFormatting sqref="I14">
    <cfRule type="cellIs" priority="47" operator="notBetween" dxfId="0">
      <formula>-0.005</formula>
      <formula>0.005</formula>
    </cfRule>
    <cfRule type="cellIs" priority="48" operator="between" dxfId="1">
      <formula>-0.005</formula>
      <formula>0.005</formula>
    </cfRule>
  </conditionalFormatting>
  <conditionalFormatting sqref="E15">
    <cfRule type="cellIs" priority="49" operator="notBetween" dxfId="0">
      <formula>-0.005</formula>
      <formula>0.005</formula>
    </cfRule>
    <cfRule type="cellIs" priority="50" operator="between" dxfId="1">
      <formula>-0.005</formula>
      <formula>0.005</formula>
    </cfRule>
  </conditionalFormatting>
  <conditionalFormatting sqref="H15">
    <cfRule type="cellIs" priority="51" operator="notBetween" dxfId="0">
      <formula>-0.005</formula>
      <formula>0.005</formula>
    </cfRule>
    <cfRule type="cellIs" priority="52" operator="between" dxfId="1">
      <formula>-0.005</formula>
      <formula>0.005</formula>
    </cfRule>
  </conditionalFormatting>
  <conditionalFormatting sqref="I15">
    <cfRule type="cellIs" priority="53" operator="notBetween" dxfId="0">
      <formula>-0.005</formula>
      <formula>0.005</formula>
    </cfRule>
    <cfRule type="cellIs" priority="54" operator="between" dxfId="1">
      <formula>-0.005</formula>
      <formula>0.005</formula>
    </cfRule>
  </conditionalFormatting>
  <conditionalFormatting sqref="E16">
    <cfRule type="cellIs" priority="55" operator="notBetween" dxfId="0">
      <formula>-0.005</formula>
      <formula>0.005</formula>
    </cfRule>
    <cfRule type="cellIs" priority="56" operator="between" dxfId="1">
      <formula>-0.005</formula>
      <formula>0.005</formula>
    </cfRule>
  </conditionalFormatting>
  <conditionalFormatting sqref="H16">
    <cfRule type="cellIs" priority="57" operator="notBetween" dxfId="0">
      <formula>-0.005</formula>
      <formula>0.005</formula>
    </cfRule>
    <cfRule type="cellIs" priority="58" operator="between" dxfId="1">
      <formula>-0.005</formula>
      <formula>0.005</formula>
    </cfRule>
  </conditionalFormatting>
  <conditionalFormatting sqref="I16">
    <cfRule type="cellIs" priority="59" operator="notBetween" dxfId="0">
      <formula>-0.005</formula>
      <formula>0.005</formula>
    </cfRule>
    <cfRule type="cellIs" priority="60" operator="between" dxfId="1">
      <formula>-0.005</formula>
      <formula>0.005</formula>
    </cfRule>
  </conditionalFormatting>
  <conditionalFormatting sqref="E17">
    <cfRule type="cellIs" priority="61" operator="notBetween" dxfId="0">
      <formula>-0.005</formula>
      <formula>0.005</formula>
    </cfRule>
    <cfRule type="cellIs" priority="62" operator="between" dxfId="1">
      <formula>-0.005</formula>
      <formula>0.005</formula>
    </cfRule>
  </conditionalFormatting>
  <conditionalFormatting sqref="H17">
    <cfRule type="cellIs" priority="63" operator="notBetween" dxfId="0">
      <formula>-0.005</formula>
      <formula>0.005</formula>
    </cfRule>
    <cfRule type="cellIs" priority="64" operator="between" dxfId="1">
      <formula>-0.005</formula>
      <formula>0.005</formula>
    </cfRule>
  </conditionalFormatting>
  <conditionalFormatting sqref="I17">
    <cfRule type="cellIs" priority="65" operator="notBetween" dxfId="0">
      <formula>-0.005</formula>
      <formula>0.005</formula>
    </cfRule>
    <cfRule type="cellIs" priority="66" operator="between" dxfId="1">
      <formula>-0.005</formula>
      <formula>0.005</formula>
    </cfRule>
  </conditionalFormatting>
  <conditionalFormatting sqref="E18">
    <cfRule type="cellIs" priority="67" operator="notBetween" dxfId="0">
      <formula>-0.005</formula>
      <formula>0.005</formula>
    </cfRule>
    <cfRule type="cellIs" priority="68" operator="between" dxfId="1">
      <formula>-0.005</formula>
      <formula>0.005</formula>
    </cfRule>
  </conditionalFormatting>
  <conditionalFormatting sqref="H18">
    <cfRule type="cellIs" priority="69" operator="notBetween" dxfId="0">
      <formula>-0.005</formula>
      <formula>0.005</formula>
    </cfRule>
    <cfRule type="cellIs" priority="70" operator="between" dxfId="1">
      <formula>-0.005</formula>
      <formula>0.005</formula>
    </cfRule>
  </conditionalFormatting>
  <conditionalFormatting sqref="I18">
    <cfRule type="cellIs" priority="71" operator="notBetween" dxfId="0">
      <formula>-0.005</formula>
      <formula>0.005</formula>
    </cfRule>
    <cfRule type="cellIs" priority="72" operator="between" dxfId="1">
      <formula>-0.005</formula>
      <formula>0.005</formula>
    </cfRule>
  </conditionalFormatting>
  <conditionalFormatting sqref="E19">
    <cfRule type="cellIs" priority="73" operator="notBetween" dxfId="0">
      <formula>-0.005</formula>
      <formula>0.005</formula>
    </cfRule>
    <cfRule type="cellIs" priority="74" operator="between" dxfId="1">
      <formula>-0.005</formula>
      <formula>0.005</formula>
    </cfRule>
  </conditionalFormatting>
  <conditionalFormatting sqref="H19">
    <cfRule type="cellIs" priority="75" operator="notBetween" dxfId="0">
      <formula>-0.005</formula>
      <formula>0.005</formula>
    </cfRule>
    <cfRule type="cellIs" priority="76" operator="between" dxfId="1">
      <formula>-0.005</formula>
      <formula>0.005</formula>
    </cfRule>
  </conditionalFormatting>
  <conditionalFormatting sqref="I19">
    <cfRule type="cellIs" priority="77" operator="notBetween" dxfId="0">
      <formula>-0.005</formula>
      <formula>0.005</formula>
    </cfRule>
    <cfRule type="cellIs" priority="78" operator="between" dxfId="1">
      <formula>-0.005</formula>
      <formula>0.005</formula>
    </cfRule>
  </conditionalFormatting>
  <conditionalFormatting sqref="E20">
    <cfRule type="cellIs" priority="79" operator="notBetween" dxfId="0">
      <formula>-0.005</formula>
      <formula>0.005</formula>
    </cfRule>
    <cfRule type="cellIs" priority="80" operator="between" dxfId="1">
      <formula>-0.005</formula>
      <formula>0.005</formula>
    </cfRule>
  </conditionalFormatting>
  <conditionalFormatting sqref="H20">
    <cfRule type="cellIs" priority="81" operator="notBetween" dxfId="0">
      <formula>-0.005</formula>
      <formula>0.005</formula>
    </cfRule>
    <cfRule type="cellIs" priority="82" operator="between" dxfId="1">
      <formula>-0.005</formula>
      <formula>0.005</formula>
    </cfRule>
  </conditionalFormatting>
  <conditionalFormatting sqref="I20">
    <cfRule type="cellIs" priority="83" operator="notBetween" dxfId="0">
      <formula>-0.005</formula>
      <formula>0.005</formula>
    </cfRule>
    <cfRule type="cellIs" priority="84" operator="between" dxfId="1">
      <formula>-0.005</formula>
      <formula>0.005</formula>
    </cfRule>
  </conditionalFormatting>
  <conditionalFormatting sqref="E21">
    <cfRule type="cellIs" priority="85" operator="notBetween" dxfId="0">
      <formula>-0.005</formula>
      <formula>0.005</formula>
    </cfRule>
    <cfRule type="cellIs" priority="86" operator="between" dxfId="1">
      <formula>-0.005</formula>
      <formula>0.005</formula>
    </cfRule>
  </conditionalFormatting>
  <conditionalFormatting sqref="H21">
    <cfRule type="cellIs" priority="87" operator="notBetween" dxfId="0">
      <formula>-0.005</formula>
      <formula>0.005</formula>
    </cfRule>
    <cfRule type="cellIs" priority="88" operator="between" dxfId="1">
      <formula>-0.005</formula>
      <formula>0.005</formula>
    </cfRule>
  </conditionalFormatting>
  <conditionalFormatting sqref="I21">
    <cfRule type="cellIs" priority="89" operator="notBetween" dxfId="0">
      <formula>-0.005</formula>
      <formula>0.005</formula>
    </cfRule>
    <cfRule type="cellIs" priority="90" operator="between" dxfId="1">
      <formula>-0.005</formula>
      <formula>0.005</formula>
    </cfRule>
  </conditionalFormatting>
  <conditionalFormatting sqref="E25">
    <cfRule type="cellIs" priority="91" operator="notBetween" dxfId="0">
      <formula>-0.005</formula>
      <formula>0.005</formula>
    </cfRule>
    <cfRule type="cellIs" priority="92" operator="between" dxfId="1">
      <formula>-0.005</formula>
      <formula>0.005</formula>
    </cfRule>
  </conditionalFormatting>
  <conditionalFormatting sqref="H25">
    <cfRule type="cellIs" priority="93" operator="notBetween" dxfId="0">
      <formula>-0.005</formula>
      <formula>0.005</formula>
    </cfRule>
    <cfRule type="cellIs" priority="94" operator="between" dxfId="1">
      <formula>-0.005</formula>
      <formula>0.005</formula>
    </cfRule>
  </conditionalFormatting>
  <conditionalFormatting sqref="I25">
    <cfRule type="cellIs" priority="95" operator="notBetween" dxfId="0">
      <formula>-0.005</formula>
      <formula>0.005</formula>
    </cfRule>
    <cfRule type="cellIs" priority="96" operator="between" dxfId="1">
      <formula>-0.005</formula>
      <formula>0.005</formula>
    </cfRule>
  </conditionalFormatting>
  <conditionalFormatting sqref="E26">
    <cfRule type="cellIs" priority="97" operator="notBetween" dxfId="0">
      <formula>-0.005</formula>
      <formula>0.005</formula>
    </cfRule>
    <cfRule type="cellIs" priority="98" operator="between" dxfId="1">
      <formula>-0.005</formula>
      <formula>0.005</formula>
    </cfRule>
  </conditionalFormatting>
  <conditionalFormatting sqref="H26">
    <cfRule type="cellIs" priority="99" operator="notBetween" dxfId="0">
      <formula>-0.005</formula>
      <formula>0.005</formula>
    </cfRule>
    <cfRule type="cellIs" priority="100" operator="between" dxfId="1">
      <formula>-0.005</formula>
      <formula>0.005</formula>
    </cfRule>
  </conditionalFormatting>
  <conditionalFormatting sqref="I26">
    <cfRule type="cellIs" priority="101" operator="notBetween" dxfId="0">
      <formula>-0.005</formula>
      <formula>0.005</formula>
    </cfRule>
    <cfRule type="cellIs" priority="102" operator="between" dxfId="1">
      <formula>-0.005</formula>
      <formula>0.005</formula>
    </cfRule>
  </conditionalFormatting>
  <conditionalFormatting sqref="E27">
    <cfRule type="cellIs" priority="103" operator="notBetween" dxfId="0">
      <formula>-0.005</formula>
      <formula>0.005</formula>
    </cfRule>
    <cfRule type="cellIs" priority="104" operator="between" dxfId="1">
      <formula>-0.005</formula>
      <formula>0.005</formula>
    </cfRule>
  </conditionalFormatting>
  <conditionalFormatting sqref="H27">
    <cfRule type="cellIs" priority="105" operator="notBetween" dxfId="0">
      <formula>-0.005</formula>
      <formula>0.005</formula>
    </cfRule>
    <cfRule type="cellIs" priority="106" operator="between" dxfId="1">
      <formula>-0.005</formula>
      <formula>0.005</formula>
    </cfRule>
  </conditionalFormatting>
  <conditionalFormatting sqref="I27">
    <cfRule type="cellIs" priority="107" operator="notBetween" dxfId="0">
      <formula>-0.005</formula>
      <formula>0.005</formula>
    </cfRule>
    <cfRule type="cellIs" priority="108" operator="between" dxfId="1">
      <formula>-0.005</formula>
      <formula>0.005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2026-10-01T08:59:21Z</dcterms:created>
  <dcterms:modified xsi:type="dcterms:W3CDTF">2026-10-01T08:59:21Z</dcterms:modified>
</cp:coreProperties>
</file>